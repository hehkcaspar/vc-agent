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f63280e117e20743/Taihill/三期基金/候选项目/3EO/Legal/个人投资50k/"/>
    </mc:Choice>
  </mc:AlternateContent>
  <xr:revisionPtr revIDLastSave="550" documentId="11_F25DC773A252ABDACC104818F15A65465ADE58E9" xr6:coauthVersionLast="47" xr6:coauthVersionMax="47" xr10:uidLastSave="{82DAAA89-9A28-42B7-9A7B-5325F09B8648}"/>
  <bookViews>
    <workbookView xWindow="-110" yWindow="-110" windowWidth="19420" windowHeight="11500" activeTab="1" xr2:uid="{00000000-000D-0000-FFFF-FFFF00000000}"/>
  </bookViews>
  <sheets>
    <sheet name="Terms" sheetId="1" r:id="rId1"/>
    <sheet name="Captable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9" i="1" l="1"/>
  <c r="F8" i="1" l="1"/>
  <c r="B14" i="1"/>
  <c r="F3" i="1"/>
  <c r="F4" i="1"/>
  <c r="F7" i="1" s="1"/>
  <c r="B8" i="1" l="1"/>
  <c r="B6" i="1" s="1"/>
</calcChain>
</file>

<file path=xl/sharedStrings.xml><?xml version="1.0" encoding="utf-8"?>
<sst xmlns="http://schemas.openxmlformats.org/spreadsheetml/2006/main" count="182" uniqueCount="157">
  <si>
    <t>Company</t>
  </si>
  <si>
    <t>Effective Date</t>
  </si>
  <si>
    <t>Class of Share</t>
  </si>
  <si>
    <t>Capitalization (#share)</t>
  </si>
  <si>
    <t>Price per share</t>
  </si>
  <si>
    <t>New money ($)</t>
  </si>
  <si>
    <t>New money (#share)</t>
  </si>
  <si>
    <t>Post-money val</t>
  </si>
  <si>
    <t>Co-investors</t>
  </si>
  <si>
    <t>see captable</t>
  </si>
  <si>
    <t>Holding Entity</t>
  </si>
  <si>
    <t>Position ($)</t>
  </si>
  <si>
    <t>Position (#share)</t>
  </si>
  <si>
    <t>Fully diluted ownership</t>
  </si>
  <si>
    <t>Purchase price per share</t>
  </si>
  <si>
    <t>Major Investor cutoff (#share)</t>
  </si>
  <si>
    <t>Major Investor cutoff ($)</t>
  </si>
  <si>
    <t>Market Stand-off</t>
  </si>
  <si>
    <t>180 days after IPO</t>
  </si>
  <si>
    <t>Information Rights</t>
  </si>
  <si>
    <t>Major Investor</t>
  </si>
  <si>
    <t>Financial</t>
  </si>
  <si>
    <t>Inspection</t>
  </si>
  <si>
    <t>Right of First Offer</t>
  </si>
  <si>
    <t>Yes</t>
  </si>
  <si>
    <t>No</t>
  </si>
  <si>
    <t>Co-sale</t>
  </si>
  <si>
    <t>Right of First Refusal</t>
  </si>
  <si>
    <t>Board Composition</t>
  </si>
  <si>
    <t>Setting</t>
  </si>
  <si>
    <t>Common</t>
  </si>
  <si>
    <t>&gt;50% outstanding share</t>
  </si>
  <si>
    <t>Drag-Along</t>
  </si>
  <si>
    <t>4yr, first yr cliff 25%</t>
  </si>
  <si>
    <t>Foreign Person limitation</t>
  </si>
  <si>
    <t>Employee Vesting</t>
  </si>
  <si>
    <t>NA</t>
    <phoneticPr fontId="5" type="noConversion"/>
  </si>
  <si>
    <t>Secondary Refusal</t>
    <phoneticPr fontId="5" type="noConversion"/>
  </si>
  <si>
    <t>No</t>
    <phoneticPr fontId="5" type="noConversion"/>
  </si>
  <si>
    <t>Board</t>
    <phoneticPr fontId="5" type="noConversion"/>
  </si>
  <si>
    <t>Pre-money val</t>
  </si>
  <si>
    <t>Pre-Money Valuation</t>
  </si>
  <si>
    <t>Registrable Securities</t>
  </si>
  <si>
    <t>CEO</t>
  </si>
  <si>
    <t>All Investor</t>
  </si>
  <si>
    <t>3EO Health Inc. A Delaware corporation</t>
  </si>
  <si>
    <t>Series AA-1 Preferred Stock</t>
  </si>
  <si>
    <t>Lida Zhang, Personal</t>
  </si>
  <si>
    <t>Position</t>
  </si>
  <si>
    <t>Yonghua</t>
  </si>
  <si>
    <t>AA Preferred</t>
  </si>
  <si>
    <t>Peng Yin</t>
  </si>
  <si>
    <t>Paul Meister</t>
  </si>
  <si>
    <t>Jeremy Schubert</t>
  </si>
  <si>
    <t>Founders</t>
  </si>
  <si>
    <t>Key Employee</t>
  </si>
  <si>
    <t>Jeremy Schubert, John Wu, Peter Honkenan</t>
  </si>
  <si>
    <t>Applied to Lida?</t>
  </si>
  <si>
    <t>no information rights/access</t>
  </si>
  <si>
    <t>Pro Forma Capitalization Table</t>
  </si>
  <si>
    <t>Series AA</t>
  </si>
  <si>
    <t>Rounding on = 1</t>
  </si>
  <si>
    <t>Financing Terms</t>
  </si>
  <si>
    <t>Second Series AA Financing</t>
  </si>
  <si>
    <t>Post Second Series AA Valuation</t>
  </si>
  <si>
    <t>Total Series AA Authorized</t>
  </si>
  <si>
    <t>Price Per Share</t>
  </si>
  <si>
    <t>Total Series AA Outstanding (Pro Forma)</t>
  </si>
  <si>
    <t>Total Series AA Available</t>
  </si>
  <si>
    <t>POST FIRST SERIES AA FINANCING CLOSING</t>
  </si>
  <si>
    <t>POST SECOND SERIES AA FINANCING CLOSING</t>
  </si>
  <si>
    <t>FINANCING</t>
  </si>
  <si>
    <t>Shareholder</t>
  </si>
  <si>
    <t>Options</t>
  </si>
  <si>
    <t>Common Stock Warrants (CW)</t>
  </si>
  <si>
    <t>Common Stock</t>
  </si>
  <si>
    <t>Series AA Preferred (PAA) Stock</t>
  </si>
  <si>
    <t>Series AA-1 Preferred (PAA1) Stock</t>
  </si>
  <si>
    <t>Fully Diluted</t>
  </si>
  <si>
    <t>% Fully Diluted</t>
  </si>
  <si>
    <t>Newly Issued Options</t>
  </si>
  <si>
    <t>Newly Issued Common Stock</t>
  </si>
  <si>
    <t>Series AA Preferred $</t>
  </si>
  <si>
    <t>Series AA Shares Issued</t>
  </si>
  <si>
    <t>Total Dilution</t>
  </si>
  <si>
    <t>% Chg Stake</t>
  </si>
  <si>
    <t>Series AA Investment Wires</t>
  </si>
  <si>
    <t>New Investors</t>
  </si>
  <si>
    <t>Robert Roselli</t>
  </si>
  <si>
    <t>Thomas Magee</t>
  </si>
  <si>
    <t>Lida Zhang</t>
  </si>
  <si>
    <t>Taihill Venture Series III LP</t>
  </si>
  <si>
    <t>Existing Equityholders</t>
  </si>
  <si>
    <t>Yongshuo (Cayman) Limited</t>
  </si>
  <si>
    <t>Yongzhan (Cayman) Limited</t>
  </si>
  <si>
    <t>ARCH Venture Fund X Overage, L.P.</t>
  </si>
  <si>
    <t>ARCH Venture Fund X, L.P.</t>
  </si>
  <si>
    <t>President and Fellows of Harvard College</t>
  </si>
  <si>
    <t>Perceptive Life Sciences Master Fund, Ltd.</t>
  </si>
  <si>
    <t>RA Capital Healthcare Fund L.P.</t>
  </si>
  <si>
    <t>Redmile Biopharma Investments II, L.P.</t>
  </si>
  <si>
    <t>Samsara BioCapital, L.P.</t>
  </si>
  <si>
    <t>Section 32 Fund 3, LP</t>
  </si>
  <si>
    <t>Liberty Lane III LLC</t>
  </si>
  <si>
    <t>David Cruikshank</t>
  </si>
  <si>
    <t>Woburn Abbey March 2021 Trust GST Exempt Share (Trustee: Jordan Park Trust Company LLC)</t>
  </si>
  <si>
    <t>-</t>
  </si>
  <si>
    <t>John Wu</t>
  </si>
  <si>
    <t>Jeff Olson</t>
  </si>
  <si>
    <t>Alban Gousset</t>
  </si>
  <si>
    <t>Junliu Zhang</t>
  </si>
  <si>
    <t>Ares Li</t>
  </si>
  <si>
    <t>Peter Honkanen</t>
  </si>
  <si>
    <t>Tom Schaus</t>
  </si>
  <si>
    <t>Caroline Popper</t>
  </si>
  <si>
    <t>Scott Douglas</t>
  </si>
  <si>
    <t>Nikhil Gopalkrishnan</t>
  </si>
  <si>
    <t>Patrick Odoy</t>
  </si>
  <si>
    <t>Dan Lydon</t>
  </si>
  <si>
    <t>Jiyoun Jeong</t>
  </si>
  <si>
    <t>Michael Sullivan</t>
  </si>
  <si>
    <t>Lanning Levine</t>
  </si>
  <si>
    <t>Dennis Shay</t>
  </si>
  <si>
    <t>Herbert Stewart</t>
  </si>
  <si>
    <t>Vivian Ho</t>
  </si>
  <si>
    <t>David Bradbury</t>
  </si>
  <si>
    <t>Barbara Beiersdorf</t>
  </si>
  <si>
    <t>Corey Dello Russo</t>
  </si>
  <si>
    <t>Michael Gilmore</t>
  </si>
  <si>
    <t>Matt Reynolds</t>
  </si>
  <si>
    <t>Rachel Rowell</t>
  </si>
  <si>
    <t>Sana Ahmed</t>
  </si>
  <si>
    <t>Devon Campbell</t>
  </si>
  <si>
    <t>Kirit Patel</t>
  </si>
  <si>
    <t>David Fullerton</t>
  </si>
  <si>
    <t>Ed Kazatchenko</t>
  </si>
  <si>
    <t>Hamza Himmi</t>
  </si>
  <si>
    <t>Dante Votolato</t>
  </si>
  <si>
    <t>Fan Hong</t>
  </si>
  <si>
    <t>Aaron Baillargeon</t>
  </si>
  <si>
    <t>Jeffrey Hahn</t>
  </si>
  <si>
    <t>Jess McDonough</t>
  </si>
  <si>
    <t>John Marino</t>
  </si>
  <si>
    <t>Amanda Brenes</t>
  </si>
  <si>
    <t>Amelia Sancilio</t>
  </si>
  <si>
    <t>Jason Diaz</t>
  </si>
  <si>
    <t>Melyssa St Michael Bussiere</t>
  </si>
  <si>
    <t>Szymon Karwowski</t>
  </si>
  <si>
    <t>Youngeun Kim</t>
  </si>
  <si>
    <t>JPMorgan Chase Bank, N.A.</t>
  </si>
  <si>
    <t>Incentive Plan</t>
  </si>
  <si>
    <t>Existing Incentive Plan Reserve</t>
  </si>
  <si>
    <t>Incentive Plan Reserve Increase</t>
  </si>
  <si>
    <t>Total Shares</t>
  </si>
  <si>
    <t>Check</t>
  </si>
  <si>
    <t>Total Reserved</t>
  </si>
  <si>
    <t>3EO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</si>
</sst>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[$$-409]#,##0.0000"/>
    <numFmt numFmtId="166" formatCode="_ * #,##0_ ;_ * \-#,##0_ ;_ * &quot;-&quot;??_ ;_ @_ "/>
    <numFmt numFmtId="167" formatCode="[$$-409]#,##0"/>
    <numFmt numFmtId="168" formatCode="0.0000%"/>
    <numFmt numFmtId="169" formatCode="[$$-409]#,##0.00"/>
    <numFmt numFmtId="175" formatCode="_(* #,##0_);_(* \(#,##0\);_(* &quot;-&quot;??_);_(@_)"/>
    <numFmt numFmtId="176" formatCode="&quot;$&quot;#,##0.0000_);\(&quot;$&quot;#,##0.0000\)"/>
    <numFmt numFmtId="177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name val="Arial"/>
      <family val="2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i/>
      <sz val="10"/>
      <color theme="0"/>
      <name val="Times New Roman"/>
      <family val="1"/>
    </font>
    <font>
      <i/>
      <sz val="10"/>
      <color theme="1"/>
      <name val="Times New Roman"/>
      <family val="1"/>
    </font>
    <font>
      <i/>
      <sz val="10"/>
      <color rgb="FF0000FF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FF"/>
      <name val="Times New Roman"/>
      <family val="1"/>
    </font>
    <font>
      <b/>
      <sz val="10"/>
      <color theme="1"/>
      <name val="Times New Roman"/>
      <family val="1"/>
    </font>
    <font>
      <i/>
      <sz val="10"/>
      <name val="Times New Roman"/>
      <family val="1"/>
    </font>
    <font>
      <sz val="10"/>
      <color rgb="FFBFBFBF"/>
      <name val="Times New Roman"/>
      <family val="1"/>
    </font>
    <font>
      <sz val="10"/>
      <color theme="1"/>
      <name val="Times New Roman"/>
      <family val="1"/>
    </font>
    <font>
      <b/>
      <sz val="10"/>
      <color rgb="FF0000FF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CD4C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941D"/>
        <bgColor indexed="64"/>
      </patternFill>
    </fill>
    <fill>
      <patternFill patternType="solid">
        <fgColor rgb="FFEFF0ED"/>
        <bgColor indexed="64"/>
      </patternFill>
    </fill>
    <fill>
      <patternFill patternType="solid">
        <fgColor rgb="FFEBF6F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0" fontId="1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4" fillId="0" borderId="0" xfId="0" applyFont="1"/>
    <xf numFmtId="0" fontId="4" fillId="0" borderId="9" xfId="0" applyFont="1" applyBorder="1"/>
    <xf numFmtId="165" fontId="4" fillId="0" borderId="0" xfId="0" applyNumberFormat="1" applyFont="1"/>
    <xf numFmtId="167" fontId="4" fillId="0" borderId="0" xfId="0" applyNumberFormat="1" applyFont="1"/>
    <xf numFmtId="168" fontId="4" fillId="0" borderId="0" xfId="2" applyNumberFormat="1" applyFont="1" applyBorder="1"/>
    <xf numFmtId="0" fontId="0" fillId="0" borderId="9" xfId="0" applyBorder="1"/>
    <xf numFmtId="166" fontId="4" fillId="0" borderId="0" xfId="1" applyNumberFormat="1" applyFont="1" applyBorder="1"/>
    <xf numFmtId="14" fontId="4" fillId="0" borderId="0" xfId="0" applyNumberFormat="1" applyFont="1"/>
    <xf numFmtId="0" fontId="2" fillId="0" borderId="9" xfId="3" applyBorder="1"/>
    <xf numFmtId="169" fontId="0" fillId="0" borderId="0" xfId="0" applyNumberFormat="1"/>
    <xf numFmtId="0" fontId="4" fillId="0" borderId="0" xfId="0" applyFont="1" applyAlignment="1">
      <alignment wrapText="1"/>
    </xf>
    <xf numFmtId="10" fontId="4" fillId="0" borderId="0" xfId="0" applyNumberFormat="1" applyFont="1"/>
    <xf numFmtId="0" fontId="0" fillId="0" borderId="10" xfId="0" applyBorder="1"/>
    <xf numFmtId="0" fontId="0" fillId="0" borderId="11" xfId="0" applyBorder="1"/>
    <xf numFmtId="0" fontId="4" fillId="0" borderId="6" xfId="0" applyFont="1" applyBorder="1"/>
    <xf numFmtId="0" fontId="4" fillId="0" borderId="2" xfId="0" applyFont="1" applyBorder="1" applyAlignment="1">
      <alignment wrapText="1"/>
    </xf>
    <xf numFmtId="0" fontId="0" fillId="0" borderId="1" xfId="0" applyBorder="1"/>
    <xf numFmtId="3" fontId="4" fillId="0" borderId="14" xfId="0" applyNumberFormat="1" applyFont="1" applyBorder="1"/>
    <xf numFmtId="0" fontId="4" fillId="0" borderId="12" xfId="0" applyFont="1" applyBorder="1"/>
    <xf numFmtId="0" fontId="0" fillId="0" borderId="12" xfId="0" applyBorder="1"/>
    <xf numFmtId="0" fontId="0" fillId="0" borderId="13" xfId="0" applyBorder="1"/>
    <xf numFmtId="0" fontId="4" fillId="0" borderId="3" xfId="0" applyFont="1" applyBorder="1"/>
    <xf numFmtId="0" fontId="4" fillId="2" borderId="0" xfId="0" applyFont="1" applyFill="1"/>
    <xf numFmtId="167" fontId="4" fillId="2" borderId="12" xfId="0" applyNumberFormat="1" applyFont="1" applyFill="1" applyBorder="1"/>
    <xf numFmtId="169" fontId="4" fillId="2" borderId="0" xfId="0" applyNumberFormat="1" applyFont="1" applyFill="1"/>
    <xf numFmtId="0" fontId="0" fillId="0" borderId="0" xfId="0" applyBorder="1"/>
    <xf numFmtId="0" fontId="3" fillId="0" borderId="4" xfId="0" applyFont="1" applyBorder="1"/>
    <xf numFmtId="0" fontId="7" fillId="3" borderId="17" xfId="5" applyFont="1" applyFill="1" applyBorder="1"/>
    <xf numFmtId="0" fontId="8" fillId="3" borderId="15" xfId="5" applyFont="1" applyFill="1" applyBorder="1"/>
    <xf numFmtId="0" fontId="8" fillId="3" borderId="18" xfId="5" applyFont="1" applyFill="1" applyBorder="1"/>
    <xf numFmtId="0" fontId="9" fillId="3" borderId="20" xfId="5" applyFont="1" applyFill="1" applyBorder="1"/>
    <xf numFmtId="0" fontId="8" fillId="3" borderId="22" xfId="5" applyFont="1" applyFill="1" applyBorder="1"/>
    <xf numFmtId="0" fontId="8" fillId="3" borderId="21" xfId="5" applyFont="1" applyFill="1" applyBorder="1"/>
    <xf numFmtId="0" fontId="10" fillId="4" borderId="23" xfId="6" applyFont="1" applyFill="1" applyBorder="1"/>
    <xf numFmtId="14" fontId="11" fillId="4" borderId="24" xfId="5" applyNumberFormat="1" applyFont="1" applyFill="1" applyBorder="1"/>
    <xf numFmtId="14" fontId="11" fillId="4" borderId="24" xfId="5" applyNumberFormat="1" applyFont="1" applyFill="1" applyBorder="1" applyAlignment="1">
      <alignment horizontal="right" indent="1"/>
    </xf>
    <xf numFmtId="37" fontId="11" fillId="4" borderId="16" xfId="7" applyNumberFormat="1" applyFont="1" applyFill="1" applyBorder="1"/>
    <xf numFmtId="37" fontId="11" fillId="4" borderId="24" xfId="7" applyNumberFormat="1" applyFont="1" applyFill="1" applyBorder="1"/>
    <xf numFmtId="0" fontId="12" fillId="4" borderId="24" xfId="5" applyFont="1" applyFill="1" applyBorder="1"/>
    <xf numFmtId="0" fontId="12" fillId="4" borderId="25" xfId="5" applyFont="1" applyFill="1" applyBorder="1"/>
    <xf numFmtId="0" fontId="10" fillId="5" borderId="0" xfId="5" applyFont="1" applyFill="1"/>
    <xf numFmtId="0" fontId="12" fillId="5" borderId="0" xfId="5" applyFont="1" applyFill="1"/>
    <xf numFmtId="175" fontId="13" fillId="6" borderId="23" xfId="5" applyNumberFormat="1" applyFont="1" applyFill="1" applyBorder="1"/>
    <xf numFmtId="175" fontId="13" fillId="6" borderId="25" xfId="5" applyNumberFormat="1" applyFont="1" applyFill="1" applyBorder="1"/>
    <xf numFmtId="175" fontId="12" fillId="5" borderId="0" xfId="5" applyNumberFormat="1" applyFont="1" applyFill="1" applyAlignment="1">
      <alignment horizontal="right"/>
    </xf>
    <xf numFmtId="0" fontId="12" fillId="7" borderId="12" xfId="5" applyFont="1" applyFill="1" applyBorder="1"/>
    <xf numFmtId="175" fontId="14" fillId="7" borderId="19" xfId="7" applyNumberFormat="1" applyFont="1" applyFill="1" applyBorder="1"/>
    <xf numFmtId="5" fontId="14" fillId="7" borderId="19" xfId="7" applyNumberFormat="1" applyFont="1" applyFill="1" applyBorder="1"/>
    <xf numFmtId="5" fontId="12" fillId="7" borderId="19" xfId="7" applyNumberFormat="1" applyFont="1" applyFill="1" applyBorder="1"/>
    <xf numFmtId="0" fontId="12" fillId="5" borderId="16" xfId="5" applyFont="1" applyFill="1" applyBorder="1" applyAlignment="1">
      <alignment horizontal="left"/>
    </xf>
    <xf numFmtId="0" fontId="15" fillId="4" borderId="13" xfId="5" applyFont="1" applyFill="1" applyBorder="1"/>
    <xf numFmtId="176" fontId="15" fillId="4" borderId="26" xfId="5" applyNumberFormat="1" applyFont="1" applyFill="1" applyBorder="1" applyAlignment="1">
      <alignment horizontal="right"/>
    </xf>
    <xf numFmtId="175" fontId="12" fillId="5" borderId="0" xfId="5" applyNumberFormat="1" applyFont="1" applyFill="1" applyAlignment="1">
      <alignment horizontal="left"/>
    </xf>
    <xf numFmtId="168" fontId="12" fillId="5" borderId="0" xfId="5" applyNumberFormat="1" applyFont="1" applyFill="1"/>
    <xf numFmtId="44" fontId="16" fillId="5" borderId="0" xfId="4" applyFont="1" applyFill="1" applyBorder="1"/>
    <xf numFmtId="5" fontId="17" fillId="5" borderId="0" xfId="5" applyNumberFormat="1" applyFont="1" applyFill="1"/>
    <xf numFmtId="7" fontId="17" fillId="5" borderId="0" xfId="7" applyNumberFormat="1" applyFont="1" applyFill="1"/>
    <xf numFmtId="176" fontId="17" fillId="5" borderId="0" xfId="7" applyNumberFormat="1" applyFont="1" applyFill="1"/>
    <xf numFmtId="0" fontId="15" fillId="5" borderId="23" xfId="5" applyFont="1" applyFill="1" applyBorder="1"/>
    <xf numFmtId="0" fontId="15" fillId="8" borderId="23" xfId="5" applyFont="1" applyFill="1" applyBorder="1" applyAlignment="1">
      <alignment horizontal="center"/>
    </xf>
    <xf numFmtId="0" fontId="15" fillId="8" borderId="24" xfId="5" applyFont="1" applyFill="1" applyBorder="1" applyAlignment="1">
      <alignment horizontal="center"/>
    </xf>
    <xf numFmtId="0" fontId="15" fillId="8" borderId="25" xfId="5" applyFont="1" applyFill="1" applyBorder="1" applyAlignment="1">
      <alignment horizontal="center"/>
    </xf>
    <xf numFmtId="0" fontId="15" fillId="7" borderId="23" xfId="5" applyFont="1" applyFill="1" applyBorder="1" applyAlignment="1">
      <alignment horizontal="center"/>
    </xf>
    <xf numFmtId="0" fontId="15" fillId="7" borderId="24" xfId="5" applyFont="1" applyFill="1" applyBorder="1" applyAlignment="1">
      <alignment horizontal="center"/>
    </xf>
    <xf numFmtId="0" fontId="15" fillId="7" borderId="25" xfId="5" applyFont="1" applyFill="1" applyBorder="1" applyAlignment="1">
      <alignment horizontal="center"/>
    </xf>
    <xf numFmtId="0" fontId="15" fillId="9" borderId="16" xfId="5" applyFont="1" applyFill="1" applyBorder="1" applyAlignment="1">
      <alignment horizontal="center"/>
    </xf>
    <xf numFmtId="0" fontId="15" fillId="5" borderId="27" xfId="5" applyFont="1" applyFill="1" applyBorder="1" applyAlignment="1">
      <alignment wrapText="1"/>
    </xf>
    <xf numFmtId="0" fontId="15" fillId="8" borderId="27" xfId="5" applyFont="1" applyFill="1" applyBorder="1" applyAlignment="1">
      <alignment horizontal="center" wrapText="1"/>
    </xf>
    <xf numFmtId="0" fontId="15" fillId="8" borderId="21" xfId="5" applyFont="1" applyFill="1" applyBorder="1" applyAlignment="1">
      <alignment horizontal="center" wrapText="1"/>
    </xf>
    <xf numFmtId="0" fontId="15" fillId="10" borderId="21" xfId="5" applyFont="1" applyFill="1" applyBorder="1" applyAlignment="1">
      <alignment horizontal="center" wrapText="1"/>
    </xf>
    <xf numFmtId="0" fontId="15" fillId="7" borderId="21" xfId="5" applyFont="1" applyFill="1" applyBorder="1" applyAlignment="1">
      <alignment horizontal="center" wrapText="1"/>
    </xf>
    <xf numFmtId="0" fontId="15" fillId="7" borderId="27" xfId="5" applyFont="1" applyFill="1" applyBorder="1" applyAlignment="1">
      <alignment horizontal="center" wrapText="1"/>
    </xf>
    <xf numFmtId="0" fontId="15" fillId="9" borderId="27" xfId="5" applyFont="1" applyFill="1" applyBorder="1" applyAlignment="1">
      <alignment horizontal="center" wrapText="1"/>
    </xf>
    <xf numFmtId="0" fontId="15" fillId="5" borderId="28" xfId="5" applyFont="1" applyFill="1" applyBorder="1"/>
    <xf numFmtId="0" fontId="15" fillId="8" borderId="28" xfId="5" applyFont="1" applyFill="1" applyBorder="1" applyAlignment="1">
      <alignment horizontal="center"/>
    </xf>
    <xf numFmtId="0" fontId="15" fillId="8" borderId="12" xfId="5" applyFont="1" applyFill="1" applyBorder="1" applyAlignment="1">
      <alignment horizontal="center"/>
    </xf>
    <xf numFmtId="0" fontId="15" fillId="8" borderId="29" xfId="5" applyFont="1" applyFill="1" applyBorder="1" applyAlignment="1">
      <alignment horizontal="center"/>
    </xf>
    <xf numFmtId="0" fontId="15" fillId="10" borderId="0" xfId="5" applyFont="1" applyFill="1" applyAlignment="1">
      <alignment horizontal="center"/>
    </xf>
    <xf numFmtId="0" fontId="15" fillId="7" borderId="29" xfId="5" applyFont="1" applyFill="1" applyBorder="1" applyAlignment="1">
      <alignment horizontal="center"/>
    </xf>
    <xf numFmtId="0" fontId="15" fillId="7" borderId="12" xfId="5" applyFont="1" applyFill="1" applyBorder="1" applyAlignment="1">
      <alignment horizontal="center"/>
    </xf>
    <xf numFmtId="0" fontId="15" fillId="7" borderId="28" xfId="5" applyFont="1" applyFill="1" applyBorder="1" applyAlignment="1">
      <alignment horizontal="center"/>
    </xf>
    <xf numFmtId="0" fontId="15" fillId="7" borderId="19" xfId="5" applyFont="1" applyFill="1" applyBorder="1" applyAlignment="1">
      <alignment horizontal="center"/>
    </xf>
    <xf numFmtId="0" fontId="15" fillId="9" borderId="28" xfId="5" applyFont="1" applyFill="1" applyBorder="1" applyAlignment="1">
      <alignment horizontal="center"/>
    </xf>
    <xf numFmtId="0" fontId="14" fillId="5" borderId="28" xfId="5" applyFont="1" applyFill="1" applyBorder="1"/>
    <xf numFmtId="41" fontId="12" fillId="10" borderId="19" xfId="5" applyNumberFormat="1" applyFont="1" applyFill="1" applyBorder="1"/>
    <xf numFmtId="41" fontId="12" fillId="7" borderId="19" xfId="5" applyNumberFormat="1" applyFont="1" applyFill="1" applyBorder="1"/>
    <xf numFmtId="177" fontId="14" fillId="7" borderId="28" xfId="7" applyNumberFormat="1" applyFont="1" applyFill="1" applyBorder="1"/>
    <xf numFmtId="41" fontId="12" fillId="7" borderId="28" xfId="7" applyNumberFormat="1" applyFont="1" applyFill="1" applyBorder="1"/>
    <xf numFmtId="41" fontId="15" fillId="7" borderId="28" xfId="5" applyNumberFormat="1" applyFont="1" applyFill="1" applyBorder="1"/>
    <xf numFmtId="168" fontId="15" fillId="7" borderId="19" xfId="8" applyNumberFormat="1" applyFont="1" applyFill="1" applyBorder="1"/>
    <xf numFmtId="7" fontId="12" fillId="9" borderId="28" xfId="7" applyNumberFormat="1" applyFont="1" applyFill="1" applyBorder="1"/>
    <xf numFmtId="0" fontId="12" fillId="5" borderId="28" xfId="5" applyFont="1" applyFill="1" applyBorder="1"/>
    <xf numFmtId="177" fontId="14" fillId="7" borderId="28" xfId="5" applyNumberFormat="1" applyFont="1" applyFill="1" applyBorder="1"/>
    <xf numFmtId="0" fontId="15" fillId="5" borderId="29" xfId="5" applyFont="1" applyFill="1" applyBorder="1"/>
    <xf numFmtId="0" fontId="15" fillId="8" borderId="17" xfId="5" applyFont="1" applyFill="1" applyBorder="1" applyAlignment="1">
      <alignment horizontal="center"/>
    </xf>
    <xf numFmtId="0" fontId="15" fillId="10" borderId="17" xfId="5" applyFont="1" applyFill="1" applyBorder="1" applyAlignment="1">
      <alignment horizontal="center"/>
    </xf>
    <xf numFmtId="0" fontId="15" fillId="7" borderId="17" xfId="5" applyFont="1" applyFill="1" applyBorder="1" applyAlignment="1">
      <alignment horizontal="center"/>
    </xf>
    <xf numFmtId="0" fontId="15" fillId="7" borderId="18" xfId="5" applyFont="1" applyFill="1" applyBorder="1" applyAlignment="1">
      <alignment horizontal="center"/>
    </xf>
    <xf numFmtId="0" fontId="15" fillId="9" borderId="18" xfId="5" applyFont="1" applyFill="1" applyBorder="1" applyAlignment="1">
      <alignment horizontal="center"/>
    </xf>
    <xf numFmtId="41" fontId="12" fillId="8" borderId="28" xfId="5" applyNumberFormat="1" applyFont="1" applyFill="1" applyBorder="1" applyAlignment="1">
      <alignment horizontal="center"/>
    </xf>
    <xf numFmtId="41" fontId="13" fillId="8" borderId="28" xfId="7" applyNumberFormat="1" applyFont="1" applyFill="1" applyBorder="1" applyAlignment="1">
      <alignment horizontal="center"/>
    </xf>
    <xf numFmtId="168" fontId="15" fillId="8" borderId="19" xfId="8" applyNumberFormat="1" applyFont="1" applyFill="1" applyBorder="1"/>
    <xf numFmtId="168" fontId="15" fillId="8" borderId="28" xfId="8" applyNumberFormat="1" applyFont="1" applyFill="1" applyBorder="1"/>
    <xf numFmtId="41" fontId="12" fillId="2" borderId="28" xfId="5" applyNumberFormat="1" applyFont="1" applyFill="1" applyBorder="1" applyAlignment="1">
      <alignment horizontal="center"/>
    </xf>
    <xf numFmtId="41" fontId="12" fillId="2" borderId="19" xfId="5" applyNumberFormat="1" applyFont="1" applyFill="1" applyBorder="1"/>
    <xf numFmtId="41" fontId="12" fillId="8" borderId="12" xfId="5" applyNumberFormat="1" applyFont="1" applyFill="1" applyBorder="1" applyAlignment="1">
      <alignment horizontal="center"/>
    </xf>
    <xf numFmtId="41" fontId="15" fillId="8" borderId="28" xfId="7" applyNumberFormat="1" applyFont="1" applyFill="1" applyBorder="1" applyAlignment="1">
      <alignment horizontal="center"/>
    </xf>
    <xf numFmtId="41" fontId="12" fillId="10" borderId="28" xfId="5" applyNumberFormat="1" applyFont="1" applyFill="1" applyBorder="1"/>
    <xf numFmtId="41" fontId="12" fillId="7" borderId="28" xfId="5" applyNumberFormat="1" applyFont="1" applyFill="1" applyBorder="1"/>
    <xf numFmtId="177" fontId="12" fillId="7" borderId="28" xfId="5" applyNumberFormat="1" applyFont="1" applyFill="1" applyBorder="1"/>
    <xf numFmtId="41" fontId="12" fillId="8" borderId="29" xfId="5" applyNumberFormat="1" applyFont="1" applyFill="1" applyBorder="1"/>
    <xf numFmtId="0" fontId="12" fillId="8" borderId="29" xfId="5" applyFont="1" applyFill="1" applyBorder="1"/>
    <xf numFmtId="41" fontId="12" fillId="10" borderId="29" xfId="5" applyNumberFormat="1" applyFont="1" applyFill="1" applyBorder="1"/>
    <xf numFmtId="41" fontId="12" fillId="7" borderId="29" xfId="5" applyNumberFormat="1" applyFont="1" applyFill="1" applyBorder="1"/>
    <xf numFmtId="177" fontId="12" fillId="7" borderId="29" xfId="5" applyNumberFormat="1" applyFont="1" applyFill="1" applyBorder="1"/>
    <xf numFmtId="168" fontId="12" fillId="7" borderId="18" xfId="5" applyNumberFormat="1" applyFont="1" applyFill="1" applyBorder="1"/>
    <xf numFmtId="7" fontId="12" fillId="9" borderId="29" xfId="5" applyNumberFormat="1" applyFont="1" applyFill="1" applyBorder="1"/>
    <xf numFmtId="41" fontId="12" fillId="8" borderId="28" xfId="5" applyNumberFormat="1" applyFont="1" applyFill="1" applyBorder="1"/>
    <xf numFmtId="41" fontId="14" fillId="8" borderId="28" xfId="5" applyNumberFormat="1" applyFont="1" applyFill="1" applyBorder="1" applyAlignment="1">
      <alignment horizontal="center"/>
    </xf>
    <xf numFmtId="168" fontId="18" fillId="8" borderId="28" xfId="8" applyNumberFormat="1" applyFont="1" applyFill="1" applyBorder="1"/>
    <xf numFmtId="41" fontId="18" fillId="7" borderId="28" xfId="7" applyNumberFormat="1" applyFont="1" applyFill="1" applyBorder="1"/>
    <xf numFmtId="168" fontId="18" fillId="7" borderId="19" xfId="8" applyNumberFormat="1" applyFont="1" applyFill="1" applyBorder="1"/>
    <xf numFmtId="41" fontId="14" fillId="8" borderId="28" xfId="7" applyNumberFormat="1" applyFont="1" applyFill="1" applyBorder="1"/>
    <xf numFmtId="175" fontId="14" fillId="8" borderId="28" xfId="7" applyNumberFormat="1" applyFont="1" applyFill="1" applyBorder="1"/>
    <xf numFmtId="41" fontId="12" fillId="10" borderId="28" xfId="7" applyNumberFormat="1" applyFont="1" applyFill="1" applyBorder="1"/>
    <xf numFmtId="177" fontId="12" fillId="7" borderId="28" xfId="7" applyNumberFormat="1" applyFont="1" applyFill="1" applyBorder="1"/>
    <xf numFmtId="168" fontId="12" fillId="7" borderId="19" xfId="8" applyNumberFormat="1" applyFont="1" applyFill="1" applyBorder="1"/>
    <xf numFmtId="7" fontId="12" fillId="9" borderId="28" xfId="5" applyNumberFormat="1" applyFont="1" applyFill="1" applyBorder="1"/>
    <xf numFmtId="0" fontId="15" fillId="5" borderId="30" xfId="5" applyFont="1" applyFill="1" applyBorder="1"/>
    <xf numFmtId="41" fontId="15" fillId="8" borderId="30" xfId="5" applyNumberFormat="1" applyFont="1" applyFill="1" applyBorder="1"/>
    <xf numFmtId="168" fontId="15" fillId="8" borderId="31" xfId="8" applyNumberFormat="1" applyFont="1" applyFill="1" applyBorder="1"/>
    <xf numFmtId="175" fontId="15" fillId="10" borderId="30" xfId="9" applyNumberFormat="1" applyFont="1" applyFill="1" applyBorder="1"/>
    <xf numFmtId="175" fontId="15" fillId="7" borderId="30" xfId="9" applyNumberFormat="1" applyFont="1" applyFill="1" applyBorder="1"/>
    <xf numFmtId="5" fontId="19" fillId="7" borderId="30" xfId="5" applyNumberFormat="1" applyFont="1" applyFill="1" applyBorder="1"/>
    <xf numFmtId="41" fontId="15" fillId="7" borderId="30" xfId="5" applyNumberFormat="1" applyFont="1" applyFill="1" applyBorder="1"/>
    <xf numFmtId="168" fontId="15" fillId="7" borderId="31" xfId="8" applyNumberFormat="1" applyFont="1" applyFill="1" applyBorder="1"/>
    <xf numFmtId="7" fontId="15" fillId="9" borderId="30" xfId="5" applyNumberFormat="1" applyFont="1" applyFill="1" applyBorder="1"/>
    <xf numFmtId="0" fontId="17" fillId="5" borderId="0" xfId="5" applyFont="1" applyFill="1"/>
    <xf numFmtId="41" fontId="17" fillId="0" borderId="0" xfId="7" applyNumberFormat="1" applyFont="1" applyFill="1"/>
    <xf numFmtId="168" fontId="17" fillId="5" borderId="0" xfId="5" applyNumberFormat="1" applyFont="1" applyFill="1"/>
    <xf numFmtId="7" fontId="12" fillId="5" borderId="0" xfId="5" applyNumberFormat="1" applyFont="1" applyFill="1"/>
    <xf numFmtId="175" fontId="16" fillId="5" borderId="0" xfId="5" applyNumberFormat="1" applyFont="1" applyFill="1" applyAlignment="1">
      <alignment horizontal="right"/>
    </xf>
    <xf numFmtId="168" fontId="16" fillId="5" borderId="0" xfId="5" applyNumberFormat="1" applyFont="1" applyFill="1"/>
    <xf numFmtId="0" fontId="12" fillId="5" borderId="0" xfId="5" applyFont="1" applyFill="1" applyAlignment="1">
      <alignment horizontal="left"/>
    </xf>
    <xf numFmtId="175" fontId="12" fillId="5" borderId="16" xfId="9" applyNumberFormat="1" applyFont="1" applyFill="1" applyBorder="1"/>
  </cellXfs>
  <cellStyles count="10">
    <cellStyle name="Comma" xfId="1" builtinId="3"/>
    <cellStyle name="Comma 14 10" xfId="7" xr:uid="{12F5AA18-BDBC-4518-8363-33101BD85973}"/>
    <cellStyle name="Comma 2" xfId="9" xr:uid="{EBC3C949-36F9-47E0-A069-A18288A163C5}"/>
    <cellStyle name="Currency" xfId="4" builtinId="4"/>
    <cellStyle name="Hyperlink" xfId="3" builtinId="8"/>
    <cellStyle name="Normal" xfId="0" builtinId="0"/>
    <cellStyle name="Normal 2" xfId="6" xr:uid="{9FA01C60-6156-440D-9ABC-14283D2DEE59}"/>
    <cellStyle name="Normal 22" xfId="5" xr:uid="{CB48568F-FD95-438E-B7D7-BB5906668B5D}"/>
    <cellStyle name="Percent" xfId="2" builtinId="5"/>
    <cellStyle name="Percent 2 2" xfId="8" xr:uid="{515F6821-B1C9-4EB7-80A6-9A6D1C8AE84E}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workbookViewId="0">
      <selection activeCell="B10" sqref="B10"/>
    </sheetView>
  </sheetViews>
  <sheetFormatPr defaultRowHeight="14.5"/>
  <cols>
    <col min="1" max="1" width="24.7265625" customWidth="1"/>
    <col min="2" max="2" width="28.54296875" customWidth="1"/>
    <col min="3" max="3" width="20.7265625" customWidth="1"/>
    <col min="5" max="5" width="26.81640625" customWidth="1"/>
    <col min="6" max="6" width="35.1796875" customWidth="1"/>
    <col min="10" max="10" width="12.81640625" bestFit="1" customWidth="1"/>
  </cols>
  <sheetData>
    <row r="1" spans="1:10" ht="29">
      <c r="A1" s="2" t="s">
        <v>0</v>
      </c>
      <c r="B1" s="24" t="s">
        <v>45</v>
      </c>
      <c r="C1" s="5"/>
      <c r="E1" s="2" t="s">
        <v>48</v>
      </c>
      <c r="F1" s="8"/>
      <c r="G1" s="8"/>
      <c r="H1" s="5"/>
    </row>
    <row r="2" spans="1:10">
      <c r="A2" s="3" t="s">
        <v>1</v>
      </c>
      <c r="B2" s="16">
        <v>45229</v>
      </c>
      <c r="C2" s="6"/>
      <c r="E2" s="3" t="s">
        <v>10</v>
      </c>
      <c r="F2" s="9" t="s">
        <v>47</v>
      </c>
      <c r="H2" s="6"/>
    </row>
    <row r="3" spans="1:10">
      <c r="A3" s="3" t="s">
        <v>2</v>
      </c>
      <c r="B3" s="9" t="s">
        <v>46</v>
      </c>
      <c r="C3" s="6"/>
      <c r="E3" s="3" t="s">
        <v>2</v>
      </c>
      <c r="F3" s="9" t="str">
        <f>B3</f>
        <v>Series AA-1 Preferred Stock</v>
      </c>
      <c r="H3" s="6"/>
    </row>
    <row r="4" spans="1:10">
      <c r="A4" s="3" t="s">
        <v>3</v>
      </c>
      <c r="B4" s="15">
        <v>75842854</v>
      </c>
      <c r="C4" s="6"/>
      <c r="E4" s="3" t="s">
        <v>14</v>
      </c>
      <c r="F4" s="11">
        <f>B5</f>
        <v>0.35139999999999999</v>
      </c>
      <c r="H4" s="6"/>
    </row>
    <row r="5" spans="1:10">
      <c r="A5" s="3" t="s">
        <v>4</v>
      </c>
      <c r="B5" s="11">
        <v>0.35139999999999999</v>
      </c>
      <c r="C5" s="6"/>
      <c r="E5" s="3" t="s">
        <v>12</v>
      </c>
      <c r="F5" s="15">
        <v>142287</v>
      </c>
      <c r="H5" s="6"/>
    </row>
    <row r="6" spans="1:10">
      <c r="A6" s="3" t="s">
        <v>40</v>
      </c>
      <c r="B6" s="12">
        <f>B9-B8</f>
        <v>25121042.384199999</v>
      </c>
      <c r="C6" s="6"/>
      <c r="E6" s="3"/>
      <c r="F6" s="15"/>
      <c r="H6" s="6"/>
    </row>
    <row r="7" spans="1:10">
      <c r="A7" s="3" t="s">
        <v>6</v>
      </c>
      <c r="B7" s="15">
        <v>4354401</v>
      </c>
      <c r="C7" s="6"/>
      <c r="E7" s="3" t="s">
        <v>11</v>
      </c>
      <c r="F7" s="33">
        <f>F5*F4</f>
        <v>49999.6518</v>
      </c>
      <c r="H7" s="6"/>
    </row>
    <row r="8" spans="1:10">
      <c r="A8" s="3" t="s">
        <v>5</v>
      </c>
      <c r="B8" s="12">
        <f>B5*B7</f>
        <v>1530136.5114</v>
      </c>
      <c r="C8" s="6"/>
      <c r="E8" s="3" t="s">
        <v>13</v>
      </c>
      <c r="F8" s="13">
        <f>F5/B4</f>
        <v>1.876076551655084E-3</v>
      </c>
      <c r="H8" s="6"/>
    </row>
    <row r="9" spans="1:10">
      <c r="A9" s="3" t="s">
        <v>7</v>
      </c>
      <c r="B9" s="12">
        <f>B5*B4</f>
        <v>26651178.895599999</v>
      </c>
      <c r="C9" s="6"/>
      <c r="E9" s="3"/>
      <c r="H9" s="6"/>
      <c r="J9" s="18"/>
    </row>
    <row r="10" spans="1:10" ht="15" thickBot="1">
      <c r="A10" s="4" t="s">
        <v>8</v>
      </c>
      <c r="B10" s="17" t="s">
        <v>9</v>
      </c>
      <c r="C10" s="7"/>
      <c r="E10" s="4"/>
      <c r="F10" s="14"/>
      <c r="G10" s="14"/>
      <c r="H10" s="7"/>
    </row>
    <row r="11" spans="1:10">
      <c r="H11" s="1"/>
    </row>
    <row r="12" spans="1:10" ht="15" thickBot="1"/>
    <row r="13" spans="1:10">
      <c r="A13" s="25" t="s">
        <v>15</v>
      </c>
      <c r="B13" s="26">
        <v>4268638</v>
      </c>
      <c r="C13" s="30" t="s">
        <v>42</v>
      </c>
      <c r="E13" s="35"/>
      <c r="F13" s="8" t="s">
        <v>29</v>
      </c>
      <c r="G13" s="8" t="s">
        <v>57</v>
      </c>
      <c r="H13" s="5"/>
    </row>
    <row r="14" spans="1:10">
      <c r="A14" s="21" t="s">
        <v>16</v>
      </c>
      <c r="B14" s="32">
        <f>B13*B5</f>
        <v>1499999.3932</v>
      </c>
      <c r="C14" s="6"/>
      <c r="E14" s="3"/>
      <c r="F14" s="9"/>
      <c r="G14" s="9" t="s">
        <v>24</v>
      </c>
      <c r="H14" s="6"/>
    </row>
    <row r="15" spans="1:10">
      <c r="A15" s="3"/>
      <c r="B15" s="34"/>
      <c r="C15" s="6"/>
      <c r="E15" s="3" t="s">
        <v>34</v>
      </c>
      <c r="F15" s="20" t="s">
        <v>58</v>
      </c>
      <c r="G15" s="9" t="s">
        <v>36</v>
      </c>
      <c r="H15" s="6"/>
    </row>
    <row r="16" spans="1:10">
      <c r="A16" s="21" t="s">
        <v>54</v>
      </c>
      <c r="B16" s="27" t="s">
        <v>51</v>
      </c>
      <c r="C16" s="6"/>
      <c r="E16" s="3" t="s">
        <v>17</v>
      </c>
      <c r="F16" s="9" t="s">
        <v>18</v>
      </c>
      <c r="G16" s="9" t="s">
        <v>24</v>
      </c>
      <c r="H16" s="6"/>
    </row>
    <row r="17" spans="1:8">
      <c r="A17" s="21" t="s">
        <v>55</v>
      </c>
      <c r="B17" s="27" t="s">
        <v>56</v>
      </c>
      <c r="C17" s="6"/>
      <c r="E17" s="3" t="s">
        <v>19</v>
      </c>
      <c r="F17" s="9"/>
      <c r="G17" s="9"/>
      <c r="H17" s="6"/>
    </row>
    <row r="18" spans="1:8">
      <c r="A18" s="3"/>
      <c r="B18" s="34"/>
      <c r="C18" s="6"/>
      <c r="E18" s="3" t="s">
        <v>21</v>
      </c>
      <c r="F18" s="9" t="s">
        <v>20</v>
      </c>
      <c r="G18" s="31" t="s">
        <v>25</v>
      </c>
      <c r="H18" s="6"/>
    </row>
    <row r="19" spans="1:8">
      <c r="A19" s="21" t="s">
        <v>28</v>
      </c>
      <c r="B19" s="27">
        <v>4</v>
      </c>
      <c r="C19" s="6"/>
      <c r="E19" s="3" t="s">
        <v>22</v>
      </c>
      <c r="F19" s="9" t="s">
        <v>20</v>
      </c>
      <c r="G19" s="31" t="s">
        <v>25</v>
      </c>
      <c r="H19" s="6"/>
    </row>
    <row r="20" spans="1:8">
      <c r="A20" s="21"/>
      <c r="B20" s="27" t="s">
        <v>49</v>
      </c>
      <c r="C20" s="23" t="s">
        <v>50</v>
      </c>
      <c r="E20" s="3"/>
      <c r="F20" s="9"/>
      <c r="G20" s="31"/>
      <c r="H20" s="6"/>
    </row>
    <row r="21" spans="1:8">
      <c r="A21" s="21"/>
      <c r="B21" s="27" t="s">
        <v>51</v>
      </c>
      <c r="C21" s="23" t="s">
        <v>30</v>
      </c>
      <c r="E21" s="3" t="s">
        <v>23</v>
      </c>
      <c r="F21" s="9" t="s">
        <v>20</v>
      </c>
      <c r="G21" s="31" t="s">
        <v>25</v>
      </c>
      <c r="H21" s="6"/>
    </row>
    <row r="22" spans="1:8">
      <c r="A22" s="21"/>
      <c r="B22" s="27" t="s">
        <v>52</v>
      </c>
      <c r="C22" s="23" t="s">
        <v>30</v>
      </c>
      <c r="E22" s="3" t="s">
        <v>27</v>
      </c>
      <c r="F22" s="19" t="s">
        <v>0</v>
      </c>
      <c r="G22" s="31" t="s">
        <v>38</v>
      </c>
      <c r="H22" s="6"/>
    </row>
    <row r="23" spans="1:8">
      <c r="A23" s="21"/>
      <c r="B23" s="27" t="s">
        <v>53</v>
      </c>
      <c r="C23" s="23" t="s">
        <v>43</v>
      </c>
      <c r="E23" s="3" t="s">
        <v>37</v>
      </c>
      <c r="F23" s="9" t="s">
        <v>44</v>
      </c>
      <c r="G23" s="9" t="s">
        <v>24</v>
      </c>
      <c r="H23" s="6"/>
    </row>
    <row r="24" spans="1:8">
      <c r="A24" s="21"/>
      <c r="B24" s="27"/>
      <c r="C24" s="23"/>
      <c r="E24" s="3" t="s">
        <v>26</v>
      </c>
      <c r="F24" s="19" t="s">
        <v>44</v>
      </c>
      <c r="G24" s="9" t="s">
        <v>24</v>
      </c>
      <c r="H24" s="6"/>
    </row>
    <row r="25" spans="1:8">
      <c r="A25" s="21"/>
      <c r="B25" s="28"/>
      <c r="C25" s="6"/>
      <c r="E25" s="3"/>
      <c r="F25" s="9"/>
      <c r="G25" s="9"/>
      <c r="H25" s="6"/>
    </row>
    <row r="26" spans="1:8">
      <c r="A26" s="21" t="s">
        <v>32</v>
      </c>
      <c r="B26" s="27" t="s">
        <v>31</v>
      </c>
      <c r="C26" s="6"/>
      <c r="E26" s="3" t="s">
        <v>39</v>
      </c>
      <c r="F26" s="9"/>
      <c r="G26" s="9" t="s">
        <v>38</v>
      </c>
      <c r="H26" s="6"/>
    </row>
    <row r="27" spans="1:8">
      <c r="A27" s="21"/>
      <c r="B27" s="28"/>
      <c r="C27" s="6"/>
      <c r="E27" s="3"/>
      <c r="H27" s="6"/>
    </row>
    <row r="28" spans="1:8" ht="15" thickBot="1">
      <c r="A28" s="22"/>
      <c r="B28" s="29"/>
      <c r="C28" s="7"/>
      <c r="E28" s="4" t="s">
        <v>35</v>
      </c>
      <c r="F28" s="10" t="s">
        <v>33</v>
      </c>
      <c r="G28" s="10" t="s">
        <v>25</v>
      </c>
      <c r="H28" s="7"/>
    </row>
  </sheetData>
  <phoneticPr fontId="5" type="noConversion"/>
  <hyperlinks>
    <hyperlink ref="B10" location="Captable!A1" display="see captable" xr:uid="{C16950ED-4218-4EC8-8D12-6CCFD7F51647}"/>
  </hyperlink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2D5A-447B-432C-B84C-099319127404}">
  <dimension ref="A1:V88"/>
  <sheetViews>
    <sheetView tabSelected="1" topLeftCell="A90" workbookViewId="0">
      <selection activeCell="C9" sqref="C9"/>
    </sheetView>
  </sheetViews>
  <sheetFormatPr defaultRowHeight="14.5"/>
  <cols>
    <col min="1" max="1" width="28" customWidth="1"/>
    <col min="2" max="2" width="11.81640625" customWidth="1"/>
    <col min="3" max="3" width="11.81640625" style="18" customWidth="1"/>
    <col min="4" max="17" width="11.81640625" customWidth="1"/>
    <col min="18" max="18" width="15.08984375" customWidth="1"/>
    <col min="19" max="22" width="11.81640625" customWidth="1"/>
  </cols>
  <sheetData>
    <row r="1" spans="1:22">
      <c r="A1" s="36" t="s">
        <v>156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8"/>
    </row>
    <row r="2" spans="1:22">
      <c r="A2" s="39" t="s">
        <v>59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</row>
    <row r="3" spans="1:22">
      <c r="A3" s="42" t="s">
        <v>60</v>
      </c>
      <c r="B3" s="43"/>
      <c r="C3" s="43"/>
      <c r="D3" s="43"/>
      <c r="E3" s="43"/>
      <c r="F3" s="43"/>
      <c r="G3" s="44" t="s">
        <v>61</v>
      </c>
      <c r="H3" s="45">
        <v>1</v>
      </c>
      <c r="I3" s="46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</row>
    <row r="4" spans="1:2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</row>
    <row r="5" spans="1:22">
      <c r="A5" s="51" t="s">
        <v>62</v>
      </c>
      <c r="B5" s="52"/>
      <c r="C5" s="50"/>
      <c r="D5" s="53"/>
      <c r="E5" s="53"/>
      <c r="F5" s="53"/>
      <c r="G5" s="53"/>
      <c r="H5" s="53"/>
      <c r="I5" s="53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</row>
    <row r="6" spans="1:22">
      <c r="A6" s="54"/>
      <c r="B6" s="55"/>
      <c r="C6" s="50"/>
      <c r="D6" s="50"/>
      <c r="E6" s="53"/>
      <c r="F6" s="53"/>
      <c r="G6" s="50"/>
      <c r="H6" s="53"/>
      <c r="I6" s="53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</row>
    <row r="7" spans="1:22">
      <c r="A7" s="54" t="s">
        <v>41</v>
      </c>
      <c r="B7" s="56">
        <v>24000000</v>
      </c>
      <c r="C7" s="50"/>
      <c r="D7" s="50"/>
      <c r="E7" s="53"/>
      <c r="F7" s="53"/>
      <c r="G7" s="53"/>
      <c r="H7" s="53"/>
      <c r="I7" s="53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</row>
    <row r="8" spans="1:22">
      <c r="A8" s="54" t="s">
        <v>63</v>
      </c>
      <c r="B8" s="56">
        <v>1530140</v>
      </c>
      <c r="C8" s="50"/>
      <c r="D8" s="50"/>
      <c r="E8" s="53"/>
      <c r="F8" s="53"/>
      <c r="G8" s="53"/>
      <c r="H8" s="53"/>
      <c r="I8" s="53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</row>
    <row r="9" spans="1:22">
      <c r="A9" s="54" t="s">
        <v>64</v>
      </c>
      <c r="B9" s="57">
        <v>25530140</v>
      </c>
      <c r="C9" s="50"/>
      <c r="D9" s="53"/>
      <c r="E9" s="53"/>
      <c r="F9" s="53"/>
      <c r="G9" s="53"/>
      <c r="H9" s="53"/>
      <c r="I9" s="53"/>
      <c r="J9" s="50"/>
      <c r="K9" s="50"/>
      <c r="L9" s="50"/>
      <c r="M9" s="50"/>
      <c r="N9" s="50"/>
      <c r="O9" s="58" t="s">
        <v>65</v>
      </c>
      <c r="P9" s="58"/>
      <c r="Q9" s="153">
        <v>17074555</v>
      </c>
      <c r="R9" s="50"/>
      <c r="S9" s="50"/>
      <c r="T9" s="50"/>
      <c r="U9" s="50"/>
      <c r="V9" s="50"/>
    </row>
    <row r="10" spans="1:22" ht="15" thickBot="1">
      <c r="A10" s="59" t="s">
        <v>66</v>
      </c>
      <c r="B10" s="60">
        <v>0.35139999999999999</v>
      </c>
      <c r="C10" s="50"/>
      <c r="D10" s="53"/>
      <c r="E10" s="61"/>
      <c r="F10" s="61"/>
      <c r="G10" s="53"/>
      <c r="H10" s="53"/>
      <c r="I10" s="53"/>
      <c r="J10" s="50"/>
      <c r="K10" s="50"/>
      <c r="L10" s="50"/>
      <c r="M10" s="50"/>
      <c r="N10" s="50"/>
      <c r="O10" s="58" t="s">
        <v>67</v>
      </c>
      <c r="P10" s="58"/>
      <c r="Q10" s="153">
        <v>8623039</v>
      </c>
      <c r="R10" s="50"/>
      <c r="S10" s="50"/>
      <c r="T10" s="50"/>
      <c r="U10" s="50"/>
      <c r="V10" s="50"/>
    </row>
    <row r="11" spans="1:22">
      <c r="A11" s="50"/>
      <c r="B11" s="62"/>
      <c r="C11" s="50"/>
      <c r="D11" s="53"/>
      <c r="E11" s="61"/>
      <c r="F11" s="61"/>
      <c r="G11" s="53"/>
      <c r="H11" s="53"/>
      <c r="I11" s="53"/>
      <c r="J11" s="50"/>
      <c r="K11" s="50"/>
      <c r="L11" s="50"/>
      <c r="M11" s="50"/>
      <c r="N11" s="50"/>
      <c r="O11" s="58" t="s">
        <v>68</v>
      </c>
      <c r="P11" s="58"/>
      <c r="Q11" s="153">
        <v>8451516</v>
      </c>
      <c r="R11" s="63">
        <v>2969862.7223999999</v>
      </c>
      <c r="S11" s="50"/>
      <c r="T11" s="50"/>
      <c r="U11" s="50"/>
      <c r="V11" s="50"/>
    </row>
    <row r="12" spans="1:22">
      <c r="A12" s="64"/>
      <c r="B12" s="64"/>
      <c r="C12" s="50"/>
      <c r="D12" s="53"/>
      <c r="E12" s="61"/>
      <c r="F12" s="61"/>
      <c r="G12" s="53"/>
      <c r="H12" s="53"/>
      <c r="I12" s="53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</row>
    <row r="13" spans="1:22">
      <c r="A13" s="65"/>
      <c r="B13" s="66"/>
      <c r="C13" s="50"/>
      <c r="D13" s="53"/>
      <c r="E13" s="61"/>
      <c r="F13" s="61"/>
      <c r="G13" s="53"/>
      <c r="H13" s="53"/>
      <c r="I13" s="53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</row>
    <row r="14" spans="1:22">
      <c r="A14" s="50"/>
      <c r="B14" s="62"/>
      <c r="C14" s="62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</row>
    <row r="15" spans="1:22">
      <c r="A15" s="67" t="s">
        <v>59</v>
      </c>
      <c r="B15" s="68" t="s">
        <v>69</v>
      </c>
      <c r="C15" s="69"/>
      <c r="D15" s="69"/>
      <c r="E15" s="69"/>
      <c r="F15" s="69"/>
      <c r="G15" s="69"/>
      <c r="H15" s="70"/>
      <c r="I15" s="71" t="s">
        <v>70</v>
      </c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3"/>
      <c r="V15" s="74" t="s">
        <v>71</v>
      </c>
    </row>
    <row r="16" spans="1:22" ht="65.5">
      <c r="A16" s="75" t="s">
        <v>72</v>
      </c>
      <c r="B16" s="76" t="s">
        <v>73</v>
      </c>
      <c r="C16" s="76" t="s">
        <v>74</v>
      </c>
      <c r="D16" s="76" t="s">
        <v>75</v>
      </c>
      <c r="E16" s="76" t="s">
        <v>76</v>
      </c>
      <c r="F16" s="76" t="s">
        <v>77</v>
      </c>
      <c r="G16" s="76" t="s">
        <v>78</v>
      </c>
      <c r="H16" s="77" t="s">
        <v>79</v>
      </c>
      <c r="I16" s="78" t="s">
        <v>80</v>
      </c>
      <c r="J16" s="79" t="s">
        <v>73</v>
      </c>
      <c r="K16" s="79" t="s">
        <v>74</v>
      </c>
      <c r="L16" s="79" t="s">
        <v>75</v>
      </c>
      <c r="M16" s="79" t="s">
        <v>81</v>
      </c>
      <c r="N16" s="79" t="s">
        <v>76</v>
      </c>
      <c r="O16" s="79" t="s">
        <v>77</v>
      </c>
      <c r="P16" s="80" t="s">
        <v>82</v>
      </c>
      <c r="Q16" s="80" t="s">
        <v>83</v>
      </c>
      <c r="R16" s="80" t="s">
        <v>78</v>
      </c>
      <c r="S16" s="79" t="s">
        <v>79</v>
      </c>
      <c r="T16" s="79" t="s">
        <v>84</v>
      </c>
      <c r="U16" s="79" t="s">
        <v>85</v>
      </c>
      <c r="V16" s="81" t="s">
        <v>86</v>
      </c>
    </row>
    <row r="17" spans="1:22">
      <c r="A17" s="82" t="s">
        <v>87</v>
      </c>
      <c r="B17" s="83"/>
      <c r="C17" s="83"/>
      <c r="D17" s="83"/>
      <c r="E17" s="84"/>
      <c r="F17" s="84"/>
      <c r="G17" s="84"/>
      <c r="H17" s="85"/>
      <c r="I17" s="86"/>
      <c r="J17" s="87"/>
      <c r="K17" s="88"/>
      <c r="L17" s="88"/>
      <c r="M17" s="88"/>
      <c r="N17" s="88"/>
      <c r="O17" s="88"/>
      <c r="P17" s="89"/>
      <c r="Q17" s="89"/>
      <c r="R17" s="89"/>
      <c r="S17" s="90"/>
      <c r="T17" s="90"/>
      <c r="U17" s="90"/>
      <c r="V17" s="91"/>
    </row>
    <row r="18" spans="1:22">
      <c r="A18" s="92" t="s">
        <v>88</v>
      </c>
      <c r="B18" s="83"/>
      <c r="C18" s="83"/>
      <c r="D18" s="83"/>
      <c r="E18" s="84"/>
      <c r="F18" s="84"/>
      <c r="G18" s="84"/>
      <c r="H18" s="83"/>
      <c r="I18" s="93"/>
      <c r="J18" s="94"/>
      <c r="K18" s="94"/>
      <c r="L18" s="94"/>
      <c r="M18" s="94"/>
      <c r="N18" s="94"/>
      <c r="O18" s="94"/>
      <c r="P18" s="95">
        <v>100000</v>
      </c>
      <c r="Q18" s="96">
        <v>284575</v>
      </c>
      <c r="R18" s="97">
        <v>284575</v>
      </c>
      <c r="S18" s="98">
        <v>3.7521662884679946E-3</v>
      </c>
      <c r="T18" s="98">
        <v>3.7521662884679946E-3</v>
      </c>
      <c r="U18" s="98">
        <v>0</v>
      </c>
      <c r="V18" s="99">
        <v>99999.654999999999</v>
      </c>
    </row>
    <row r="19" spans="1:22">
      <c r="A19" s="92" t="s">
        <v>89</v>
      </c>
      <c r="B19" s="83"/>
      <c r="C19" s="83"/>
      <c r="D19" s="83"/>
      <c r="E19" s="84"/>
      <c r="F19" s="84"/>
      <c r="G19" s="84"/>
      <c r="H19" s="83"/>
      <c r="I19" s="93"/>
      <c r="J19" s="94"/>
      <c r="K19" s="94"/>
      <c r="L19" s="94"/>
      <c r="M19" s="94"/>
      <c r="N19" s="94"/>
      <c r="O19" s="94"/>
      <c r="P19" s="95">
        <v>100000</v>
      </c>
      <c r="Q19" s="96">
        <v>284575</v>
      </c>
      <c r="R19" s="97">
        <v>284575</v>
      </c>
      <c r="S19" s="98">
        <v>3.7521662884679946E-3</v>
      </c>
      <c r="T19" s="98">
        <v>3.7521662884679946E-3</v>
      </c>
      <c r="U19" s="98">
        <v>0</v>
      </c>
      <c r="V19" s="99">
        <v>99999.654999999999</v>
      </c>
    </row>
    <row r="20" spans="1:22">
      <c r="A20" s="92" t="s">
        <v>90</v>
      </c>
      <c r="B20" s="83"/>
      <c r="C20" s="83"/>
      <c r="D20" s="83"/>
      <c r="E20" s="84"/>
      <c r="F20" s="84"/>
      <c r="G20" s="84"/>
      <c r="H20" s="83"/>
      <c r="I20" s="93"/>
      <c r="J20" s="94"/>
      <c r="K20" s="94"/>
      <c r="L20" s="94"/>
      <c r="M20" s="94"/>
      <c r="N20" s="94"/>
      <c r="O20" s="94"/>
      <c r="P20" s="95">
        <v>50000</v>
      </c>
      <c r="Q20" s="96">
        <v>142287</v>
      </c>
      <c r="R20" s="97">
        <v>142287</v>
      </c>
      <c r="S20" s="98">
        <v>1.876076551655084E-3</v>
      </c>
      <c r="T20" s="98">
        <v>1.876076551655084E-3</v>
      </c>
      <c r="U20" s="98">
        <v>0</v>
      </c>
      <c r="V20" s="99">
        <v>49999.6518</v>
      </c>
    </row>
    <row r="21" spans="1:22">
      <c r="A21" s="92" t="s">
        <v>91</v>
      </c>
      <c r="B21" s="83"/>
      <c r="C21" s="83"/>
      <c r="D21" s="83"/>
      <c r="E21" s="84"/>
      <c r="F21" s="84"/>
      <c r="G21" s="84"/>
      <c r="H21" s="83"/>
      <c r="I21" s="93"/>
      <c r="J21" s="94"/>
      <c r="K21" s="94"/>
      <c r="L21" s="94"/>
      <c r="M21" s="94"/>
      <c r="N21" s="94"/>
      <c r="O21" s="94"/>
      <c r="P21" s="95">
        <v>500000</v>
      </c>
      <c r="Q21" s="96">
        <v>1422879</v>
      </c>
      <c r="R21" s="97">
        <v>1422879</v>
      </c>
      <c r="S21" s="98">
        <v>1.8760884182971279E-2</v>
      </c>
      <c r="T21" s="98">
        <v>1.8760884182971279E-2</v>
      </c>
      <c r="U21" s="98">
        <v>0</v>
      </c>
      <c r="V21" s="99">
        <v>499999.68059999996</v>
      </c>
    </row>
    <row r="22" spans="1:22">
      <c r="A22" s="100"/>
      <c r="B22" s="83"/>
      <c r="C22" s="83"/>
      <c r="D22" s="83"/>
      <c r="E22" s="84"/>
      <c r="F22" s="84"/>
      <c r="G22" s="84"/>
      <c r="H22" s="83"/>
      <c r="I22" s="93"/>
      <c r="J22" s="94"/>
      <c r="K22" s="94"/>
      <c r="L22" s="94"/>
      <c r="M22" s="94"/>
      <c r="N22" s="94"/>
      <c r="O22" s="94"/>
      <c r="P22" s="101"/>
      <c r="Q22" s="96"/>
      <c r="R22" s="97"/>
      <c r="S22" s="98"/>
      <c r="T22" s="98"/>
      <c r="U22" s="98"/>
      <c r="V22" s="99"/>
    </row>
    <row r="23" spans="1:22">
      <c r="A23" s="102" t="s">
        <v>92</v>
      </c>
      <c r="B23" s="85"/>
      <c r="C23" s="85"/>
      <c r="D23" s="85"/>
      <c r="E23" s="103"/>
      <c r="F23" s="103"/>
      <c r="G23" s="103"/>
      <c r="H23" s="103"/>
      <c r="I23" s="104"/>
      <c r="J23" s="105"/>
      <c r="K23" s="105"/>
      <c r="L23" s="105"/>
      <c r="M23" s="105"/>
      <c r="N23" s="105"/>
      <c r="O23" s="105"/>
      <c r="P23" s="87"/>
      <c r="Q23" s="87"/>
      <c r="R23" s="87"/>
      <c r="S23" s="106"/>
      <c r="T23" s="106"/>
      <c r="U23" s="106"/>
      <c r="V23" s="107"/>
    </row>
    <row r="24" spans="1:22">
      <c r="A24" s="100" t="s">
        <v>93</v>
      </c>
      <c r="B24" s="108">
        <v>0</v>
      </c>
      <c r="C24" s="108">
        <v>0</v>
      </c>
      <c r="D24" s="108">
        <v>0</v>
      </c>
      <c r="E24" s="108">
        <v>3841775</v>
      </c>
      <c r="F24" s="108">
        <v>15367100</v>
      </c>
      <c r="G24" s="109">
        <v>19208875</v>
      </c>
      <c r="H24" s="110">
        <v>0.27525257873465758</v>
      </c>
      <c r="I24" s="93">
        <v>0</v>
      </c>
      <c r="J24" s="94">
        <v>0</v>
      </c>
      <c r="K24" s="94">
        <v>0</v>
      </c>
      <c r="L24" s="94">
        <v>0</v>
      </c>
      <c r="M24" s="94"/>
      <c r="N24" s="94">
        <v>3841775</v>
      </c>
      <c r="O24" s="94">
        <v>15367100</v>
      </c>
      <c r="P24" s="101">
        <v>0</v>
      </c>
      <c r="Q24" s="96">
        <v>0</v>
      </c>
      <c r="R24" s="97">
        <v>19208875</v>
      </c>
      <c r="S24" s="98">
        <v>0.2532720485439538</v>
      </c>
      <c r="T24" s="98">
        <v>-2.1980530190703784E-2</v>
      </c>
      <c r="U24" s="98">
        <v>-7.9855855635390549E-2</v>
      </c>
      <c r="V24" s="99">
        <v>0</v>
      </c>
    </row>
    <row r="25" spans="1:22">
      <c r="A25" s="100" t="s">
        <v>94</v>
      </c>
      <c r="B25" s="108">
        <v>0</v>
      </c>
      <c r="C25" s="108">
        <v>0</v>
      </c>
      <c r="D25" s="108">
        <v>0</v>
      </c>
      <c r="E25" s="108">
        <v>426863</v>
      </c>
      <c r="F25" s="108">
        <v>1707452</v>
      </c>
      <c r="G25" s="109">
        <v>2134315</v>
      </c>
      <c r="H25" s="111">
        <v>3.0583556172970081E-2</v>
      </c>
      <c r="I25" s="93">
        <v>0</v>
      </c>
      <c r="J25" s="94">
        <v>0</v>
      </c>
      <c r="K25" s="94">
        <v>0</v>
      </c>
      <c r="L25" s="94">
        <v>0</v>
      </c>
      <c r="M25" s="94"/>
      <c r="N25" s="94">
        <v>426863</v>
      </c>
      <c r="O25" s="94">
        <v>1707452</v>
      </c>
      <c r="P25" s="101">
        <v>0</v>
      </c>
      <c r="Q25" s="96">
        <v>0</v>
      </c>
      <c r="R25" s="97">
        <v>2134315</v>
      </c>
      <c r="S25" s="98">
        <v>2.8141280126404527E-2</v>
      </c>
      <c r="T25" s="98">
        <v>-2.4422760465655537E-3</v>
      </c>
      <c r="U25" s="98">
        <v>-7.9855855635390438E-2</v>
      </c>
      <c r="V25" s="99">
        <v>0</v>
      </c>
    </row>
    <row r="26" spans="1:22">
      <c r="A26" s="100" t="s">
        <v>51</v>
      </c>
      <c r="B26" s="108">
        <v>0</v>
      </c>
      <c r="C26" s="108">
        <v>0</v>
      </c>
      <c r="D26" s="108">
        <v>9000000</v>
      </c>
      <c r="E26" s="108">
        <v>0</v>
      </c>
      <c r="F26" s="108">
        <v>0</v>
      </c>
      <c r="G26" s="109">
        <v>9000000</v>
      </c>
      <c r="H26" s="111">
        <v>0.12896503353850333</v>
      </c>
      <c r="I26" s="93">
        <v>0</v>
      </c>
      <c r="J26" s="94">
        <v>0</v>
      </c>
      <c r="K26" s="94">
        <v>0</v>
      </c>
      <c r="L26" s="94">
        <v>9000000</v>
      </c>
      <c r="M26" s="94">
        <v>142287</v>
      </c>
      <c r="N26" s="94">
        <v>0</v>
      </c>
      <c r="O26" s="94">
        <v>0</v>
      </c>
      <c r="P26" s="101">
        <v>50000</v>
      </c>
      <c r="Q26" s="96">
        <v>142287</v>
      </c>
      <c r="R26" s="97">
        <v>9284574</v>
      </c>
      <c r="S26" s="98">
        <v>0.12241857354154947</v>
      </c>
      <c r="T26" s="98">
        <v>-6.5464599969538573E-3</v>
      </c>
      <c r="U26" s="98">
        <v>-5.0761511220011157E-2</v>
      </c>
      <c r="V26" s="99">
        <v>49999.6518</v>
      </c>
    </row>
    <row r="27" spans="1:22">
      <c r="A27" s="100" t="s">
        <v>95</v>
      </c>
      <c r="B27" s="108">
        <v>0</v>
      </c>
      <c r="C27" s="108">
        <v>0</v>
      </c>
      <c r="D27" s="108">
        <v>1167147</v>
      </c>
      <c r="E27" s="108">
        <v>0</v>
      </c>
      <c r="F27" s="108">
        <v>0</v>
      </c>
      <c r="G27" s="109">
        <v>1167147</v>
      </c>
      <c r="H27" s="111">
        <v>1.6724572444373725E-2</v>
      </c>
      <c r="I27" s="93">
        <v>0</v>
      </c>
      <c r="J27" s="94">
        <v>0</v>
      </c>
      <c r="K27" s="94">
        <v>0</v>
      </c>
      <c r="L27" s="94">
        <v>1167147</v>
      </c>
      <c r="M27" s="94">
        <v>0</v>
      </c>
      <c r="N27" s="94">
        <v>0</v>
      </c>
      <c r="O27" s="94">
        <v>0</v>
      </c>
      <c r="P27" s="101">
        <v>0</v>
      </c>
      <c r="Q27" s="96">
        <v>0</v>
      </c>
      <c r="R27" s="97">
        <v>1167147</v>
      </c>
      <c r="S27" s="98">
        <v>1.5389017401692188E-2</v>
      </c>
      <c r="T27" s="98">
        <v>-1.3355550426815375E-3</v>
      </c>
      <c r="U27" s="98">
        <v>-7.9855855635390438E-2</v>
      </c>
      <c r="V27" s="99">
        <v>0</v>
      </c>
    </row>
    <row r="28" spans="1:22">
      <c r="A28" s="100" t="s">
        <v>96</v>
      </c>
      <c r="B28" s="108">
        <v>0</v>
      </c>
      <c r="C28" s="108">
        <v>0</v>
      </c>
      <c r="D28" s="108">
        <v>1167147</v>
      </c>
      <c r="E28" s="108">
        <v>0</v>
      </c>
      <c r="F28" s="108">
        <v>0</v>
      </c>
      <c r="G28" s="109">
        <v>1167147</v>
      </c>
      <c r="H28" s="111">
        <v>1.6724572444373725E-2</v>
      </c>
      <c r="I28" s="93">
        <v>0</v>
      </c>
      <c r="J28" s="94">
        <v>0</v>
      </c>
      <c r="K28" s="94">
        <v>0</v>
      </c>
      <c r="L28" s="94">
        <v>1167147</v>
      </c>
      <c r="M28" s="94">
        <v>0</v>
      </c>
      <c r="N28" s="94">
        <v>0</v>
      </c>
      <c r="O28" s="94">
        <v>0</v>
      </c>
      <c r="P28" s="101">
        <v>0</v>
      </c>
      <c r="Q28" s="96">
        <v>0</v>
      </c>
      <c r="R28" s="97">
        <v>1167147</v>
      </c>
      <c r="S28" s="98">
        <v>1.5389017401692188E-2</v>
      </c>
      <c r="T28" s="98">
        <v>-1.3355550426815375E-3</v>
      </c>
      <c r="U28" s="98">
        <v>-7.9855855635390438E-2</v>
      </c>
      <c r="V28" s="99">
        <v>0</v>
      </c>
    </row>
    <row r="29" spans="1:22">
      <c r="A29" s="100" t="s">
        <v>97</v>
      </c>
      <c r="B29" s="108">
        <v>0</v>
      </c>
      <c r="C29" s="108">
        <v>0</v>
      </c>
      <c r="D29" s="108">
        <v>960664</v>
      </c>
      <c r="E29" s="108">
        <v>0</v>
      </c>
      <c r="F29" s="108">
        <v>0</v>
      </c>
      <c r="G29" s="109">
        <v>960664</v>
      </c>
      <c r="H29" s="111">
        <v>1.3765784997692529E-2</v>
      </c>
      <c r="I29" s="93">
        <v>0</v>
      </c>
      <c r="J29" s="94">
        <v>0</v>
      </c>
      <c r="K29" s="94">
        <v>0</v>
      </c>
      <c r="L29" s="94">
        <v>960664</v>
      </c>
      <c r="M29" s="94">
        <v>0</v>
      </c>
      <c r="N29" s="94">
        <v>0</v>
      </c>
      <c r="O29" s="94">
        <v>0</v>
      </c>
      <c r="P29" s="101">
        <v>0</v>
      </c>
      <c r="Q29" s="96">
        <v>0</v>
      </c>
      <c r="R29" s="97">
        <v>960664</v>
      </c>
      <c r="S29" s="98">
        <v>1.266650645820897E-2</v>
      </c>
      <c r="T29" s="98">
        <v>-1.0992785394835589E-3</v>
      </c>
      <c r="U29" s="98">
        <v>-7.9855855635390549E-2</v>
      </c>
      <c r="V29" s="99">
        <v>0</v>
      </c>
    </row>
    <row r="30" spans="1:22">
      <c r="A30" s="100" t="s">
        <v>98</v>
      </c>
      <c r="B30" s="108">
        <v>0</v>
      </c>
      <c r="C30" s="108">
        <v>0</v>
      </c>
      <c r="D30" s="108">
        <v>731503</v>
      </c>
      <c r="E30" s="108">
        <v>0</v>
      </c>
      <c r="F30" s="108">
        <v>0</v>
      </c>
      <c r="G30" s="109">
        <v>731503</v>
      </c>
      <c r="H30" s="111">
        <v>1.0482034325390644E-2</v>
      </c>
      <c r="I30" s="93">
        <v>0</v>
      </c>
      <c r="J30" s="94">
        <v>0</v>
      </c>
      <c r="K30" s="94">
        <v>0</v>
      </c>
      <c r="L30" s="94">
        <v>731503</v>
      </c>
      <c r="M30" s="94">
        <v>0</v>
      </c>
      <c r="N30" s="94">
        <v>0</v>
      </c>
      <c r="O30" s="94">
        <v>0</v>
      </c>
      <c r="P30" s="101">
        <v>0</v>
      </c>
      <c r="Q30" s="96">
        <v>0</v>
      </c>
      <c r="R30" s="97">
        <v>731503</v>
      </c>
      <c r="S30" s="98">
        <v>9.6449825055370409E-3</v>
      </c>
      <c r="T30" s="98">
        <v>-8.3705181985360352E-4</v>
      </c>
      <c r="U30" s="98">
        <v>-7.9855855635390549E-2</v>
      </c>
      <c r="V30" s="99">
        <v>0</v>
      </c>
    </row>
    <row r="31" spans="1:22">
      <c r="A31" s="100" t="s">
        <v>99</v>
      </c>
      <c r="B31" s="108">
        <v>0</v>
      </c>
      <c r="C31" s="108">
        <v>0</v>
      </c>
      <c r="D31" s="108">
        <v>731503</v>
      </c>
      <c r="E31" s="108">
        <v>0</v>
      </c>
      <c r="F31" s="108">
        <v>0</v>
      </c>
      <c r="G31" s="109">
        <v>731503</v>
      </c>
      <c r="H31" s="111">
        <v>1.0482034325390644E-2</v>
      </c>
      <c r="I31" s="93">
        <v>0</v>
      </c>
      <c r="J31" s="94">
        <v>0</v>
      </c>
      <c r="K31" s="94">
        <v>0</v>
      </c>
      <c r="L31" s="94">
        <v>731503</v>
      </c>
      <c r="M31" s="94">
        <v>0</v>
      </c>
      <c r="N31" s="94">
        <v>0</v>
      </c>
      <c r="O31" s="94">
        <v>0</v>
      </c>
      <c r="P31" s="101">
        <v>0</v>
      </c>
      <c r="Q31" s="96">
        <v>0</v>
      </c>
      <c r="R31" s="97">
        <v>731503</v>
      </c>
      <c r="S31" s="98">
        <v>9.6449825055370409E-3</v>
      </c>
      <c r="T31" s="98">
        <v>-8.3705181985360352E-4</v>
      </c>
      <c r="U31" s="98">
        <v>-7.9855855635390549E-2</v>
      </c>
      <c r="V31" s="99">
        <v>0</v>
      </c>
    </row>
    <row r="32" spans="1:22">
      <c r="A32" s="100" t="s">
        <v>100</v>
      </c>
      <c r="B32" s="108">
        <v>0</v>
      </c>
      <c r="C32" s="108">
        <v>0</v>
      </c>
      <c r="D32" s="108">
        <v>731503</v>
      </c>
      <c r="E32" s="108">
        <v>0</v>
      </c>
      <c r="F32" s="108">
        <v>0</v>
      </c>
      <c r="G32" s="109">
        <v>731503</v>
      </c>
      <c r="H32" s="111">
        <v>1.0482034325390644E-2</v>
      </c>
      <c r="I32" s="93">
        <v>0</v>
      </c>
      <c r="J32" s="94">
        <v>0</v>
      </c>
      <c r="K32" s="94">
        <v>0</v>
      </c>
      <c r="L32" s="94">
        <v>731503</v>
      </c>
      <c r="M32" s="94">
        <v>0</v>
      </c>
      <c r="N32" s="94">
        <v>0</v>
      </c>
      <c r="O32" s="94">
        <v>0</v>
      </c>
      <c r="P32" s="101">
        <v>0</v>
      </c>
      <c r="Q32" s="96">
        <v>0</v>
      </c>
      <c r="R32" s="97">
        <v>731503</v>
      </c>
      <c r="S32" s="98">
        <v>9.6449825055370409E-3</v>
      </c>
      <c r="T32" s="98">
        <v>-8.3705181985360352E-4</v>
      </c>
      <c r="U32" s="98">
        <v>-7.9855855635390549E-2</v>
      </c>
      <c r="V32" s="99">
        <v>0</v>
      </c>
    </row>
    <row r="33" spans="1:22">
      <c r="A33" s="100" t="s">
        <v>101</v>
      </c>
      <c r="B33" s="108">
        <v>0</v>
      </c>
      <c r="C33" s="108">
        <v>0</v>
      </c>
      <c r="D33" s="108">
        <v>731503</v>
      </c>
      <c r="E33" s="108">
        <v>0</v>
      </c>
      <c r="F33" s="108">
        <v>0</v>
      </c>
      <c r="G33" s="109">
        <v>731503</v>
      </c>
      <c r="H33" s="111">
        <v>1.0482034325390644E-2</v>
      </c>
      <c r="I33" s="93">
        <v>0</v>
      </c>
      <c r="J33" s="94">
        <v>0</v>
      </c>
      <c r="K33" s="94">
        <v>0</v>
      </c>
      <c r="L33" s="94">
        <v>731503</v>
      </c>
      <c r="M33" s="94">
        <v>0</v>
      </c>
      <c r="N33" s="94">
        <v>0</v>
      </c>
      <c r="O33" s="94">
        <v>0</v>
      </c>
      <c r="P33" s="101">
        <v>0</v>
      </c>
      <c r="Q33" s="96">
        <v>0</v>
      </c>
      <c r="R33" s="97">
        <v>731503</v>
      </c>
      <c r="S33" s="98">
        <v>9.6449825055370409E-3</v>
      </c>
      <c r="T33" s="98">
        <v>-8.3705181985360352E-4</v>
      </c>
      <c r="U33" s="98">
        <v>-7.9855855635390549E-2</v>
      </c>
      <c r="V33" s="99">
        <v>0</v>
      </c>
    </row>
    <row r="34" spans="1:22">
      <c r="A34" s="100" t="s">
        <v>102</v>
      </c>
      <c r="B34" s="108">
        <v>0</v>
      </c>
      <c r="C34" s="108">
        <v>0</v>
      </c>
      <c r="D34" s="108">
        <v>658352</v>
      </c>
      <c r="E34" s="108">
        <v>0</v>
      </c>
      <c r="F34" s="108">
        <v>0</v>
      </c>
      <c r="G34" s="109">
        <v>658352</v>
      </c>
      <c r="H34" s="111">
        <v>9.43382086223786E-3</v>
      </c>
      <c r="I34" s="93">
        <v>0</v>
      </c>
      <c r="J34" s="94">
        <v>0</v>
      </c>
      <c r="K34" s="94">
        <v>0</v>
      </c>
      <c r="L34" s="94">
        <v>658352</v>
      </c>
      <c r="M34" s="94">
        <v>0</v>
      </c>
      <c r="N34" s="94">
        <v>0</v>
      </c>
      <c r="O34" s="94">
        <v>0</v>
      </c>
      <c r="P34" s="101">
        <v>0</v>
      </c>
      <c r="Q34" s="96">
        <v>0</v>
      </c>
      <c r="R34" s="97">
        <v>658352</v>
      </c>
      <c r="S34" s="98">
        <v>8.6804750253728583E-3</v>
      </c>
      <c r="T34" s="98">
        <v>-7.5334583686500166E-4</v>
      </c>
      <c r="U34" s="98">
        <v>-7.9855855635390549E-2</v>
      </c>
      <c r="V34" s="99">
        <v>0</v>
      </c>
    </row>
    <row r="35" spans="1:22">
      <c r="A35" s="100" t="s">
        <v>103</v>
      </c>
      <c r="B35" s="108">
        <v>0</v>
      </c>
      <c r="C35" s="108">
        <v>0</v>
      </c>
      <c r="D35" s="112">
        <v>463049</v>
      </c>
      <c r="E35" s="108">
        <v>0</v>
      </c>
      <c r="F35" s="108">
        <v>0</v>
      </c>
      <c r="G35" s="109">
        <v>463049</v>
      </c>
      <c r="H35" s="111">
        <v>6.6352366461078253E-3</v>
      </c>
      <c r="I35" s="93">
        <v>0</v>
      </c>
      <c r="J35" s="94">
        <v>0</v>
      </c>
      <c r="K35" s="94">
        <v>0</v>
      </c>
      <c r="L35" s="113">
        <v>260937</v>
      </c>
      <c r="M35" s="94">
        <v>0</v>
      </c>
      <c r="N35" s="94">
        <v>0</v>
      </c>
      <c r="O35" s="94">
        <v>1956457</v>
      </c>
      <c r="P35" s="101">
        <v>500000</v>
      </c>
      <c r="Q35" s="96">
        <v>1422879</v>
      </c>
      <c r="R35" s="97">
        <v>3640273</v>
      </c>
      <c r="S35" s="98">
        <v>4.7997574036441192E-2</v>
      </c>
      <c r="T35" s="98">
        <v>4.1362337390333369E-2</v>
      </c>
      <c r="U35" s="98">
        <v>6.2337395930853754</v>
      </c>
      <c r="V35" s="99">
        <v>499999.68059999996</v>
      </c>
    </row>
    <row r="36" spans="1:22">
      <c r="A36" s="100" t="s">
        <v>104</v>
      </c>
      <c r="B36" s="108">
        <v>100000</v>
      </c>
      <c r="C36" s="108">
        <v>0</v>
      </c>
      <c r="D36" s="108">
        <v>400000</v>
      </c>
      <c r="E36" s="108">
        <v>0</v>
      </c>
      <c r="F36" s="108">
        <v>0</v>
      </c>
      <c r="G36" s="109">
        <v>500000</v>
      </c>
      <c r="H36" s="111">
        <v>7.1647240854724068E-3</v>
      </c>
      <c r="I36" s="93">
        <v>0</v>
      </c>
      <c r="J36" s="94">
        <v>100000</v>
      </c>
      <c r="K36" s="94">
        <v>0</v>
      </c>
      <c r="L36" s="94">
        <v>400000</v>
      </c>
      <c r="M36" s="94">
        <v>0</v>
      </c>
      <c r="N36" s="94">
        <v>0</v>
      </c>
      <c r="O36" s="94">
        <v>0</v>
      </c>
      <c r="P36" s="101">
        <v>0</v>
      </c>
      <c r="Q36" s="96">
        <v>0</v>
      </c>
      <c r="R36" s="97">
        <v>500000</v>
      </c>
      <c r="S36" s="98">
        <v>6.5925789132355176E-3</v>
      </c>
      <c r="T36" s="98">
        <v>-5.7214517223688928E-4</v>
      </c>
      <c r="U36" s="98">
        <v>-7.9855855635390438E-2</v>
      </c>
      <c r="V36" s="99">
        <v>0</v>
      </c>
    </row>
    <row r="37" spans="1:22">
      <c r="A37" s="100" t="s">
        <v>105</v>
      </c>
      <c r="B37" s="108">
        <v>0</v>
      </c>
      <c r="C37" s="108">
        <v>0</v>
      </c>
      <c r="D37" s="112">
        <v>52250</v>
      </c>
      <c r="E37" s="108">
        <v>0</v>
      </c>
      <c r="F37" s="108">
        <v>0</v>
      </c>
      <c r="G37" s="109">
        <v>52250</v>
      </c>
      <c r="H37" s="111">
        <v>7.4871366693186653E-4</v>
      </c>
      <c r="I37" s="93">
        <v>0</v>
      </c>
      <c r="J37" s="94">
        <v>0</v>
      </c>
      <c r="K37" s="94">
        <v>0</v>
      </c>
      <c r="L37" s="113">
        <v>0</v>
      </c>
      <c r="M37" s="94" t="s">
        <v>106</v>
      </c>
      <c r="N37" s="94">
        <v>0</v>
      </c>
      <c r="O37" s="113"/>
      <c r="P37" s="101">
        <v>0</v>
      </c>
      <c r="Q37" s="96">
        <v>0</v>
      </c>
      <c r="R37" s="97">
        <v>0</v>
      </c>
      <c r="S37" s="98">
        <v>0</v>
      </c>
      <c r="T37" s="98">
        <v>-7.4871366693186653E-4</v>
      </c>
      <c r="U37" s="98">
        <v>-1</v>
      </c>
      <c r="V37" s="99">
        <v>0</v>
      </c>
    </row>
    <row r="38" spans="1:22">
      <c r="A38" s="100" t="s">
        <v>107</v>
      </c>
      <c r="B38" s="108">
        <v>370000</v>
      </c>
      <c r="C38" s="108">
        <v>0</v>
      </c>
      <c r="D38" s="108">
        <v>50000</v>
      </c>
      <c r="E38" s="108">
        <v>0</v>
      </c>
      <c r="F38" s="108">
        <v>0</v>
      </c>
      <c r="G38" s="109">
        <v>420000</v>
      </c>
      <c r="H38" s="111">
        <v>6.0183682317968218E-3</v>
      </c>
      <c r="I38" s="93">
        <v>175000</v>
      </c>
      <c r="J38" s="94">
        <v>545000</v>
      </c>
      <c r="K38" s="94">
        <v>0</v>
      </c>
      <c r="L38" s="94">
        <v>50000</v>
      </c>
      <c r="M38" s="94">
        <v>0</v>
      </c>
      <c r="N38" s="94">
        <v>0</v>
      </c>
      <c r="O38" s="94">
        <v>0</v>
      </c>
      <c r="P38" s="101">
        <v>0</v>
      </c>
      <c r="Q38" s="96">
        <v>0</v>
      </c>
      <c r="R38" s="97">
        <v>595000</v>
      </c>
      <c r="S38" s="98">
        <v>7.8451689067502647E-3</v>
      </c>
      <c r="T38" s="98">
        <v>1.8268006749534429E-3</v>
      </c>
      <c r="U38" s="98">
        <v>0.30353753784986326</v>
      </c>
      <c r="V38" s="99">
        <v>0</v>
      </c>
    </row>
    <row r="39" spans="1:22">
      <c r="A39" s="100" t="s">
        <v>108</v>
      </c>
      <c r="B39" s="108">
        <v>0</v>
      </c>
      <c r="C39" s="108">
        <v>0</v>
      </c>
      <c r="D39" s="108">
        <v>26666</v>
      </c>
      <c r="E39" s="108">
        <v>0</v>
      </c>
      <c r="F39" s="108">
        <v>0</v>
      </c>
      <c r="G39" s="109">
        <v>26666</v>
      </c>
      <c r="H39" s="111">
        <v>3.8210906492641439E-4</v>
      </c>
      <c r="I39" s="93">
        <v>0</v>
      </c>
      <c r="J39" s="94">
        <v>0</v>
      </c>
      <c r="K39" s="94">
        <v>0</v>
      </c>
      <c r="L39" s="94">
        <v>26666</v>
      </c>
      <c r="M39" s="94">
        <v>0</v>
      </c>
      <c r="N39" s="94">
        <v>0</v>
      </c>
      <c r="O39" s="94">
        <v>0</v>
      </c>
      <c r="P39" s="101">
        <v>0</v>
      </c>
      <c r="Q39" s="96">
        <v>0</v>
      </c>
      <c r="R39" s="97">
        <v>26666</v>
      </c>
      <c r="S39" s="98">
        <v>3.5159541860067659E-4</v>
      </c>
      <c r="T39" s="98">
        <v>-3.05136463257378E-5</v>
      </c>
      <c r="U39" s="98">
        <v>-7.9855855635390438E-2</v>
      </c>
      <c r="V39" s="99">
        <v>0</v>
      </c>
    </row>
    <row r="40" spans="1:22">
      <c r="A40" s="100" t="s">
        <v>109</v>
      </c>
      <c r="B40" s="108">
        <v>18000</v>
      </c>
      <c r="C40" s="108">
        <v>0</v>
      </c>
      <c r="D40" s="108">
        <v>12000</v>
      </c>
      <c r="E40" s="108">
        <v>0</v>
      </c>
      <c r="F40" s="108">
        <v>0</v>
      </c>
      <c r="G40" s="109">
        <v>30000</v>
      </c>
      <c r="H40" s="111">
        <v>4.2988344512834444E-4</v>
      </c>
      <c r="I40" s="93">
        <v>0</v>
      </c>
      <c r="J40" s="94">
        <v>18000</v>
      </c>
      <c r="K40" s="94">
        <v>0</v>
      </c>
      <c r="L40" s="94">
        <v>12000</v>
      </c>
      <c r="M40" s="94">
        <v>0</v>
      </c>
      <c r="N40" s="94">
        <v>0</v>
      </c>
      <c r="O40" s="94">
        <v>0</v>
      </c>
      <c r="P40" s="101">
        <v>0</v>
      </c>
      <c r="Q40" s="96">
        <v>0</v>
      </c>
      <c r="R40" s="97">
        <v>30000</v>
      </c>
      <c r="S40" s="98">
        <v>3.9555473479413103E-4</v>
      </c>
      <c r="T40" s="98">
        <v>-3.4328710334213407E-5</v>
      </c>
      <c r="U40" s="98">
        <v>-7.9855855635390549E-2</v>
      </c>
      <c r="V40" s="99">
        <v>0</v>
      </c>
    </row>
    <row r="41" spans="1:22">
      <c r="A41" s="100" t="s">
        <v>110</v>
      </c>
      <c r="B41" s="108">
        <v>0</v>
      </c>
      <c r="C41" s="108">
        <v>0</v>
      </c>
      <c r="D41" s="108">
        <v>10000</v>
      </c>
      <c r="E41" s="108">
        <v>0</v>
      </c>
      <c r="F41" s="108">
        <v>0</v>
      </c>
      <c r="G41" s="109">
        <v>10000</v>
      </c>
      <c r="H41" s="111">
        <v>1.4329448170944813E-4</v>
      </c>
      <c r="I41" s="93">
        <v>0</v>
      </c>
      <c r="J41" s="94">
        <v>0</v>
      </c>
      <c r="K41" s="94">
        <v>0</v>
      </c>
      <c r="L41" s="94">
        <v>10000</v>
      </c>
      <c r="M41" s="94">
        <v>0</v>
      </c>
      <c r="N41" s="94">
        <v>0</v>
      </c>
      <c r="O41" s="94">
        <v>0</v>
      </c>
      <c r="P41" s="101">
        <v>0</v>
      </c>
      <c r="Q41" s="96">
        <v>0</v>
      </c>
      <c r="R41" s="97">
        <v>10000</v>
      </c>
      <c r="S41" s="98">
        <v>1.3185157826471034E-4</v>
      </c>
      <c r="T41" s="98">
        <v>-1.1442903444737793E-5</v>
      </c>
      <c r="U41" s="98">
        <v>-7.9855855635390438E-2</v>
      </c>
      <c r="V41" s="99">
        <v>0</v>
      </c>
    </row>
    <row r="42" spans="1:22">
      <c r="A42" s="100" t="s">
        <v>111</v>
      </c>
      <c r="B42" s="108">
        <v>15000</v>
      </c>
      <c r="C42" s="108">
        <v>0</v>
      </c>
      <c r="D42" s="108">
        <v>3000</v>
      </c>
      <c r="E42" s="108">
        <v>0</v>
      </c>
      <c r="F42" s="108">
        <v>0</v>
      </c>
      <c r="G42" s="109">
        <v>18000</v>
      </c>
      <c r="H42" s="111">
        <v>2.5793006707700667E-4</v>
      </c>
      <c r="I42" s="93">
        <v>0</v>
      </c>
      <c r="J42" s="94">
        <v>15000</v>
      </c>
      <c r="K42" s="94">
        <v>0</v>
      </c>
      <c r="L42" s="94">
        <v>3000</v>
      </c>
      <c r="M42" s="94">
        <v>0</v>
      </c>
      <c r="N42" s="94">
        <v>0</v>
      </c>
      <c r="O42" s="94">
        <v>0</v>
      </c>
      <c r="P42" s="101">
        <v>0</v>
      </c>
      <c r="Q42" s="96">
        <v>0</v>
      </c>
      <c r="R42" s="97">
        <v>18000</v>
      </c>
      <c r="S42" s="98">
        <v>2.3733284087647862E-4</v>
      </c>
      <c r="T42" s="98">
        <v>-2.0597226200528055E-5</v>
      </c>
      <c r="U42" s="98">
        <v>-7.9855855635390549E-2</v>
      </c>
      <c r="V42" s="99">
        <v>0</v>
      </c>
    </row>
    <row r="43" spans="1:22">
      <c r="A43" s="100" t="s">
        <v>53</v>
      </c>
      <c r="B43" s="108">
        <v>1821193</v>
      </c>
      <c r="C43" s="108">
        <v>0</v>
      </c>
      <c r="D43" s="108">
        <v>0</v>
      </c>
      <c r="E43" s="108">
        <v>0</v>
      </c>
      <c r="F43" s="108">
        <v>0</v>
      </c>
      <c r="G43" s="109">
        <v>1821193</v>
      </c>
      <c r="H43" s="111">
        <v>2.6096690702787501E-2</v>
      </c>
      <c r="I43" s="93">
        <v>523059</v>
      </c>
      <c r="J43" s="94">
        <v>2344252</v>
      </c>
      <c r="K43" s="94">
        <v>0</v>
      </c>
      <c r="L43" s="94">
        <v>0</v>
      </c>
      <c r="M43" s="94">
        <v>170745</v>
      </c>
      <c r="N43" s="94">
        <v>0</v>
      </c>
      <c r="O43" s="94">
        <v>0</v>
      </c>
      <c r="P43" s="101">
        <v>60000</v>
      </c>
      <c r="Q43" s="96">
        <v>170745</v>
      </c>
      <c r="R43" s="97">
        <v>2685742</v>
      </c>
      <c r="S43" s="98">
        <v>3.541193215118197E-2</v>
      </c>
      <c r="T43" s="98">
        <v>9.3152414483944693E-3</v>
      </c>
      <c r="U43" s="98">
        <v>0.35695106151522382</v>
      </c>
      <c r="V43" s="99">
        <v>59999.792999999998</v>
      </c>
    </row>
    <row r="44" spans="1:22">
      <c r="A44" s="100" t="s">
        <v>112</v>
      </c>
      <c r="B44" s="108">
        <v>1070090</v>
      </c>
      <c r="C44" s="108">
        <v>0</v>
      </c>
      <c r="D44" s="108">
        <v>0</v>
      </c>
      <c r="E44" s="108">
        <v>0</v>
      </c>
      <c r="F44" s="108">
        <v>0</v>
      </c>
      <c r="G44" s="109">
        <v>1070090</v>
      </c>
      <c r="H44" s="111">
        <v>1.5333799193246336E-2</v>
      </c>
      <c r="I44" s="93">
        <v>523059</v>
      </c>
      <c r="J44" s="94">
        <v>1593149</v>
      </c>
      <c r="K44" s="94">
        <v>0</v>
      </c>
      <c r="L44" s="94">
        <v>0</v>
      </c>
      <c r="M44" s="94">
        <v>142287</v>
      </c>
      <c r="N44" s="94">
        <v>0</v>
      </c>
      <c r="O44" s="94">
        <v>0</v>
      </c>
      <c r="P44" s="101">
        <v>50000</v>
      </c>
      <c r="Q44" s="96">
        <v>142287</v>
      </c>
      <c r="R44" s="97">
        <v>1877723</v>
      </c>
      <c r="S44" s="98">
        <v>2.4758074109394672E-2</v>
      </c>
      <c r="T44" s="98">
        <v>9.4242749161483359E-3</v>
      </c>
      <c r="U44" s="98">
        <v>0.61460795184400174</v>
      </c>
      <c r="V44" s="99">
        <v>49999.6518</v>
      </c>
    </row>
    <row r="45" spans="1:22">
      <c r="A45" s="100" t="s">
        <v>113</v>
      </c>
      <c r="B45" s="108">
        <v>380000</v>
      </c>
      <c r="C45" s="108">
        <v>0</v>
      </c>
      <c r="D45" s="108">
        <v>0</v>
      </c>
      <c r="E45" s="108">
        <v>0</v>
      </c>
      <c r="F45" s="108">
        <v>0</v>
      </c>
      <c r="G45" s="109">
        <v>380000</v>
      </c>
      <c r="H45" s="111">
        <v>5.4451903049590293E-3</v>
      </c>
      <c r="I45" s="93">
        <v>220000</v>
      </c>
      <c r="J45" s="94">
        <v>600000</v>
      </c>
      <c r="K45" s="94">
        <v>0</v>
      </c>
      <c r="L45" s="94">
        <v>0</v>
      </c>
      <c r="M45" s="94">
        <v>0</v>
      </c>
      <c r="N45" s="94">
        <v>0</v>
      </c>
      <c r="O45" s="94">
        <v>0</v>
      </c>
      <c r="P45" s="101">
        <v>0</v>
      </c>
      <c r="Q45" s="96">
        <v>0</v>
      </c>
      <c r="R45" s="97">
        <v>600000</v>
      </c>
      <c r="S45" s="98">
        <v>7.9110946958826211E-3</v>
      </c>
      <c r="T45" s="98">
        <v>2.4659043909235918E-3</v>
      </c>
      <c r="U45" s="98">
        <v>0.4528591753125415</v>
      </c>
      <c r="V45" s="99">
        <v>0</v>
      </c>
    </row>
    <row r="46" spans="1:22">
      <c r="A46" s="100" t="s">
        <v>114</v>
      </c>
      <c r="B46" s="108">
        <v>348000</v>
      </c>
      <c r="C46" s="108">
        <v>0</v>
      </c>
      <c r="D46" s="108">
        <v>0</v>
      </c>
      <c r="E46" s="108">
        <v>0</v>
      </c>
      <c r="F46" s="108">
        <v>0</v>
      </c>
      <c r="G46" s="109">
        <v>348000</v>
      </c>
      <c r="H46" s="111">
        <v>4.9866479634887951E-3</v>
      </c>
      <c r="I46" s="93">
        <v>0</v>
      </c>
      <c r="J46" s="94">
        <v>348000</v>
      </c>
      <c r="K46" s="94">
        <v>0</v>
      </c>
      <c r="L46" s="94">
        <v>0</v>
      </c>
      <c r="M46" s="94">
        <v>0</v>
      </c>
      <c r="N46" s="94">
        <v>0</v>
      </c>
      <c r="O46" s="94">
        <v>0</v>
      </c>
      <c r="P46" s="101">
        <v>0</v>
      </c>
      <c r="Q46" s="96">
        <v>0</v>
      </c>
      <c r="R46" s="97">
        <v>348000</v>
      </c>
      <c r="S46" s="98">
        <v>4.5884349236119202E-3</v>
      </c>
      <c r="T46" s="98">
        <v>-3.9821303987687493E-4</v>
      </c>
      <c r="U46" s="98">
        <v>-7.9855855635390438E-2</v>
      </c>
      <c r="V46" s="99">
        <v>0</v>
      </c>
    </row>
    <row r="47" spans="1:22">
      <c r="A47" s="100" t="s">
        <v>115</v>
      </c>
      <c r="B47" s="108">
        <v>300000</v>
      </c>
      <c r="C47" s="108">
        <v>0</v>
      </c>
      <c r="D47" s="108">
        <v>0</v>
      </c>
      <c r="E47" s="108">
        <v>0</v>
      </c>
      <c r="F47" s="108">
        <v>0</v>
      </c>
      <c r="G47" s="109">
        <v>300000</v>
      </c>
      <c r="H47" s="111">
        <v>4.2988344512834443E-3</v>
      </c>
      <c r="I47" s="93">
        <v>50000</v>
      </c>
      <c r="J47" s="94">
        <v>350000</v>
      </c>
      <c r="K47" s="94">
        <v>0</v>
      </c>
      <c r="L47" s="94">
        <v>0</v>
      </c>
      <c r="M47" s="94">
        <v>28457</v>
      </c>
      <c r="N47" s="94">
        <v>0</v>
      </c>
      <c r="O47" s="94">
        <v>0</v>
      </c>
      <c r="P47" s="101">
        <v>10000</v>
      </c>
      <c r="Q47" s="96">
        <v>28457</v>
      </c>
      <c r="R47" s="97">
        <v>406914</v>
      </c>
      <c r="S47" s="98">
        <v>5.3652253118006343E-3</v>
      </c>
      <c r="T47" s="98">
        <v>1.06639086051719E-3</v>
      </c>
      <c r="U47" s="98">
        <v>0.24806511453326885</v>
      </c>
      <c r="V47" s="99">
        <v>9999.7898000000005</v>
      </c>
    </row>
    <row r="48" spans="1:22">
      <c r="A48" s="100" t="s">
        <v>116</v>
      </c>
      <c r="B48" s="108">
        <v>180000</v>
      </c>
      <c r="C48" s="108">
        <v>0</v>
      </c>
      <c r="D48" s="108">
        <v>0</v>
      </c>
      <c r="E48" s="108">
        <v>0</v>
      </c>
      <c r="F48" s="108">
        <v>0</v>
      </c>
      <c r="G48" s="109">
        <v>180000</v>
      </c>
      <c r="H48" s="111">
        <v>2.5793006707700667E-3</v>
      </c>
      <c r="I48" s="93">
        <v>100000</v>
      </c>
      <c r="J48" s="94">
        <v>280000</v>
      </c>
      <c r="K48" s="94">
        <v>0</v>
      </c>
      <c r="L48" s="94">
        <v>0</v>
      </c>
      <c r="M48" s="94">
        <v>0</v>
      </c>
      <c r="N48" s="94">
        <v>0</v>
      </c>
      <c r="O48" s="94">
        <v>0</v>
      </c>
      <c r="P48" s="101">
        <v>0</v>
      </c>
      <c r="Q48" s="96">
        <v>0</v>
      </c>
      <c r="R48" s="97">
        <v>280000</v>
      </c>
      <c r="S48" s="98">
        <v>3.6918441914118895E-3</v>
      </c>
      <c r="T48" s="98">
        <v>1.1125435206418227E-3</v>
      </c>
      <c r="U48" s="98">
        <v>0.4313353356782812</v>
      </c>
      <c r="V48" s="99">
        <v>0</v>
      </c>
    </row>
    <row r="49" spans="1:22">
      <c r="A49" s="100" t="s">
        <v>117</v>
      </c>
      <c r="B49" s="108">
        <v>150000</v>
      </c>
      <c r="C49" s="108">
        <v>0</v>
      </c>
      <c r="D49" s="108">
        <v>0</v>
      </c>
      <c r="E49" s="108">
        <v>0</v>
      </c>
      <c r="F49" s="108">
        <v>0</v>
      </c>
      <c r="G49" s="109">
        <v>150000</v>
      </c>
      <c r="H49" s="111">
        <v>2.1494172256417221E-3</v>
      </c>
      <c r="I49" s="93">
        <v>75000</v>
      </c>
      <c r="J49" s="94">
        <v>225000</v>
      </c>
      <c r="K49" s="94">
        <v>0</v>
      </c>
      <c r="L49" s="94">
        <v>0</v>
      </c>
      <c r="M49" s="94">
        <v>0</v>
      </c>
      <c r="N49" s="94">
        <v>0</v>
      </c>
      <c r="O49" s="94">
        <v>0</v>
      </c>
      <c r="P49" s="101">
        <v>0</v>
      </c>
      <c r="Q49" s="96">
        <v>0</v>
      </c>
      <c r="R49" s="97">
        <v>225000</v>
      </c>
      <c r="S49" s="98">
        <v>2.9666605109559827E-3</v>
      </c>
      <c r="T49" s="98">
        <v>8.1724328531426055E-4</v>
      </c>
      <c r="U49" s="98">
        <v>0.38021621654691429</v>
      </c>
      <c r="V49" s="99">
        <v>0</v>
      </c>
    </row>
    <row r="50" spans="1:22">
      <c r="A50" s="100" t="s">
        <v>118</v>
      </c>
      <c r="B50" s="108">
        <v>90000</v>
      </c>
      <c r="C50" s="108">
        <v>0</v>
      </c>
      <c r="D50" s="108">
        <v>0</v>
      </c>
      <c r="E50" s="108">
        <v>0</v>
      </c>
      <c r="F50" s="108">
        <v>0</v>
      </c>
      <c r="G50" s="109">
        <v>90000</v>
      </c>
      <c r="H50" s="111">
        <v>1.2896503353850334E-3</v>
      </c>
      <c r="I50" s="93">
        <v>50000</v>
      </c>
      <c r="J50" s="94">
        <v>140000</v>
      </c>
      <c r="K50" s="94">
        <v>0</v>
      </c>
      <c r="L50" s="94">
        <v>0</v>
      </c>
      <c r="M50" s="94">
        <v>71143</v>
      </c>
      <c r="N50" s="94">
        <v>0</v>
      </c>
      <c r="O50" s="94">
        <v>0</v>
      </c>
      <c r="P50" s="101">
        <v>25000</v>
      </c>
      <c r="Q50" s="96">
        <v>71143</v>
      </c>
      <c r="R50" s="97">
        <v>282286</v>
      </c>
      <c r="S50" s="98">
        <v>3.7219854622032025E-3</v>
      </c>
      <c r="T50" s="98">
        <v>2.4323351268181691E-3</v>
      </c>
      <c r="U50" s="98">
        <v>1.8860423326234237</v>
      </c>
      <c r="V50" s="99">
        <v>24999.6502</v>
      </c>
    </row>
    <row r="51" spans="1:22">
      <c r="A51" s="100" t="s">
        <v>119</v>
      </c>
      <c r="B51" s="108">
        <v>80000</v>
      </c>
      <c r="C51" s="108">
        <v>0</v>
      </c>
      <c r="D51" s="108">
        <v>0</v>
      </c>
      <c r="E51" s="108">
        <v>0</v>
      </c>
      <c r="F51" s="108">
        <v>0</v>
      </c>
      <c r="G51" s="109">
        <v>80000</v>
      </c>
      <c r="H51" s="111">
        <v>1.146355853675585E-3</v>
      </c>
      <c r="I51" s="93">
        <v>0</v>
      </c>
      <c r="J51" s="94">
        <v>80000</v>
      </c>
      <c r="K51" s="94">
        <v>0</v>
      </c>
      <c r="L51" s="94">
        <v>0</v>
      </c>
      <c r="M51" s="94">
        <v>0</v>
      </c>
      <c r="N51" s="94">
        <v>0</v>
      </c>
      <c r="O51" s="94">
        <v>0</v>
      </c>
      <c r="P51" s="101">
        <v>0</v>
      </c>
      <c r="Q51" s="96">
        <v>0</v>
      </c>
      <c r="R51" s="97">
        <v>80000</v>
      </c>
      <c r="S51" s="98">
        <v>1.0548126261176827E-3</v>
      </c>
      <c r="T51" s="98">
        <v>-9.1543227557902345E-5</v>
      </c>
      <c r="U51" s="98">
        <v>-7.9855855635390438E-2</v>
      </c>
      <c r="V51" s="99">
        <v>0</v>
      </c>
    </row>
    <row r="52" spans="1:22">
      <c r="A52" s="100" t="s">
        <v>120</v>
      </c>
      <c r="B52" s="108">
        <v>80000</v>
      </c>
      <c r="C52" s="108">
        <v>0</v>
      </c>
      <c r="D52" s="108">
        <v>0</v>
      </c>
      <c r="E52" s="108">
        <v>0</v>
      </c>
      <c r="F52" s="108">
        <v>0</v>
      </c>
      <c r="G52" s="109">
        <v>80000</v>
      </c>
      <c r="H52" s="111">
        <v>1.146355853675585E-3</v>
      </c>
      <c r="I52" s="93">
        <v>50000</v>
      </c>
      <c r="J52" s="94">
        <v>130000</v>
      </c>
      <c r="K52" s="94">
        <v>0</v>
      </c>
      <c r="L52" s="94">
        <v>0</v>
      </c>
      <c r="M52" s="94">
        <v>0</v>
      </c>
      <c r="N52" s="94">
        <v>0</v>
      </c>
      <c r="O52" s="94">
        <v>0</v>
      </c>
      <c r="P52" s="101">
        <v>0</v>
      </c>
      <c r="Q52" s="96">
        <v>0</v>
      </c>
      <c r="R52" s="97">
        <v>130000</v>
      </c>
      <c r="S52" s="98">
        <v>1.7140705174412344E-3</v>
      </c>
      <c r="T52" s="98">
        <v>5.6771466376564941E-4</v>
      </c>
      <c r="U52" s="98">
        <v>0.4952342345924905</v>
      </c>
      <c r="V52" s="99">
        <v>0</v>
      </c>
    </row>
    <row r="53" spans="1:22">
      <c r="A53" s="100" t="s">
        <v>121</v>
      </c>
      <c r="B53" s="108">
        <v>72000</v>
      </c>
      <c r="C53" s="108">
        <v>0</v>
      </c>
      <c r="D53" s="108">
        <v>0</v>
      </c>
      <c r="E53" s="108">
        <v>0</v>
      </c>
      <c r="F53" s="108">
        <v>0</v>
      </c>
      <c r="G53" s="109">
        <v>72000</v>
      </c>
      <c r="H53" s="111">
        <v>1.0317202683080267E-3</v>
      </c>
      <c r="I53" s="93">
        <v>50000</v>
      </c>
      <c r="J53" s="94">
        <v>122000</v>
      </c>
      <c r="K53" s="94">
        <v>0</v>
      </c>
      <c r="L53" s="94">
        <v>0</v>
      </c>
      <c r="M53" s="94">
        <v>100000</v>
      </c>
      <c r="N53" s="94">
        <v>0</v>
      </c>
      <c r="O53" s="94">
        <v>0</v>
      </c>
      <c r="P53" s="101">
        <v>35140</v>
      </c>
      <c r="Q53" s="96">
        <v>100000</v>
      </c>
      <c r="R53" s="97">
        <v>322000</v>
      </c>
      <c r="S53" s="98">
        <v>4.2456208201236733E-3</v>
      </c>
      <c r="T53" s="98">
        <v>3.2139005518156466E-3</v>
      </c>
      <c r="U53" s="98">
        <v>3.1150890900750587</v>
      </c>
      <c r="V53" s="99">
        <v>35140</v>
      </c>
    </row>
    <row r="54" spans="1:22">
      <c r="A54" s="100" t="s">
        <v>52</v>
      </c>
      <c r="B54" s="108">
        <v>64063</v>
      </c>
      <c r="C54" s="108">
        <v>0</v>
      </c>
      <c r="D54" s="108">
        <v>0</v>
      </c>
      <c r="E54" s="108">
        <v>0</v>
      </c>
      <c r="F54" s="108">
        <v>0</v>
      </c>
      <c r="G54" s="109">
        <v>64063</v>
      </c>
      <c r="H54" s="111">
        <v>9.1798743817523762E-4</v>
      </c>
      <c r="I54" s="93">
        <v>300000</v>
      </c>
      <c r="J54" s="94">
        <v>364063</v>
      </c>
      <c r="K54" s="94">
        <v>0</v>
      </c>
      <c r="L54" s="94">
        <v>0</v>
      </c>
      <c r="M54" s="94">
        <v>0</v>
      </c>
      <c r="N54" s="94">
        <v>0</v>
      </c>
      <c r="O54" s="94">
        <v>0</v>
      </c>
      <c r="P54" s="101">
        <v>0</v>
      </c>
      <c r="Q54" s="96">
        <v>0</v>
      </c>
      <c r="R54" s="97">
        <v>364063</v>
      </c>
      <c r="S54" s="98">
        <v>4.8002281137785241E-3</v>
      </c>
      <c r="T54" s="98">
        <v>3.8822406756032863E-3</v>
      </c>
      <c r="U54" s="98">
        <v>4.2290782140988217</v>
      </c>
      <c r="V54" s="99">
        <v>0</v>
      </c>
    </row>
    <row r="55" spans="1:22">
      <c r="A55" s="100" t="s">
        <v>122</v>
      </c>
      <c r="B55" s="108">
        <v>60000</v>
      </c>
      <c r="C55" s="108">
        <v>0</v>
      </c>
      <c r="D55" s="108">
        <v>0</v>
      </c>
      <c r="E55" s="108">
        <v>0</v>
      </c>
      <c r="F55" s="108">
        <v>0</v>
      </c>
      <c r="G55" s="109">
        <v>60000</v>
      </c>
      <c r="H55" s="111">
        <v>8.5976689025668888E-4</v>
      </c>
      <c r="I55" s="93">
        <v>20000</v>
      </c>
      <c r="J55" s="94">
        <v>80000</v>
      </c>
      <c r="K55" s="94">
        <v>0</v>
      </c>
      <c r="L55" s="94">
        <v>0</v>
      </c>
      <c r="M55" s="94">
        <v>0</v>
      </c>
      <c r="N55" s="94">
        <v>0</v>
      </c>
      <c r="O55" s="94">
        <v>0</v>
      </c>
      <c r="P55" s="101">
        <v>0</v>
      </c>
      <c r="Q55" s="96">
        <v>0</v>
      </c>
      <c r="R55" s="97">
        <v>80000</v>
      </c>
      <c r="S55" s="98">
        <v>1.0548126261176827E-3</v>
      </c>
      <c r="T55" s="98">
        <v>1.950457358609938E-4</v>
      </c>
      <c r="U55" s="98">
        <v>0.22685885915281245</v>
      </c>
      <c r="V55" s="99">
        <v>0</v>
      </c>
    </row>
    <row r="56" spans="1:22">
      <c r="A56" s="100" t="s">
        <v>123</v>
      </c>
      <c r="B56" s="108">
        <v>60000</v>
      </c>
      <c r="C56" s="108">
        <v>0</v>
      </c>
      <c r="D56" s="108">
        <v>0</v>
      </c>
      <c r="E56" s="108">
        <v>0</v>
      </c>
      <c r="F56" s="108">
        <v>0</v>
      </c>
      <c r="G56" s="109">
        <v>60000</v>
      </c>
      <c r="H56" s="111">
        <v>8.5976689025668888E-4</v>
      </c>
      <c r="I56" s="93">
        <v>0</v>
      </c>
      <c r="J56" s="94">
        <v>60000</v>
      </c>
      <c r="K56" s="94">
        <v>0</v>
      </c>
      <c r="L56" s="94">
        <v>0</v>
      </c>
      <c r="M56" s="94">
        <v>0</v>
      </c>
      <c r="N56" s="94">
        <v>0</v>
      </c>
      <c r="O56" s="94">
        <v>0</v>
      </c>
      <c r="P56" s="101">
        <v>0</v>
      </c>
      <c r="Q56" s="96">
        <v>0</v>
      </c>
      <c r="R56" s="97">
        <v>60000</v>
      </c>
      <c r="S56" s="98">
        <v>7.9110946958826206E-4</v>
      </c>
      <c r="T56" s="98">
        <v>-6.8657420668426813E-5</v>
      </c>
      <c r="U56" s="98">
        <v>-7.9855855635390549E-2</v>
      </c>
      <c r="V56" s="99">
        <v>0</v>
      </c>
    </row>
    <row r="57" spans="1:22">
      <c r="A57" s="100" t="s">
        <v>124</v>
      </c>
      <c r="B57" s="108">
        <v>60000</v>
      </c>
      <c r="C57" s="108">
        <v>0</v>
      </c>
      <c r="D57" s="108">
        <v>0</v>
      </c>
      <c r="E57" s="108">
        <v>0</v>
      </c>
      <c r="F57" s="108">
        <v>0</v>
      </c>
      <c r="G57" s="109">
        <v>60000</v>
      </c>
      <c r="H57" s="111">
        <v>8.5976689025668888E-4</v>
      </c>
      <c r="I57" s="93">
        <v>20000</v>
      </c>
      <c r="J57" s="94">
        <v>80000</v>
      </c>
      <c r="K57" s="94">
        <v>0</v>
      </c>
      <c r="L57" s="94">
        <v>0</v>
      </c>
      <c r="M57" s="94">
        <v>0</v>
      </c>
      <c r="N57" s="94">
        <v>0</v>
      </c>
      <c r="O57" s="94">
        <v>0</v>
      </c>
      <c r="P57" s="101">
        <v>0</v>
      </c>
      <c r="Q57" s="96">
        <v>0</v>
      </c>
      <c r="R57" s="97">
        <v>80000</v>
      </c>
      <c r="S57" s="98">
        <v>1.0548126261176827E-3</v>
      </c>
      <c r="T57" s="98">
        <v>1.950457358609938E-4</v>
      </c>
      <c r="U57" s="98">
        <v>0.22685885915281245</v>
      </c>
      <c r="V57" s="99">
        <v>0</v>
      </c>
    </row>
    <row r="58" spans="1:22">
      <c r="A58" s="100" t="s">
        <v>125</v>
      </c>
      <c r="B58" s="108">
        <v>50000</v>
      </c>
      <c r="C58" s="108">
        <v>0</v>
      </c>
      <c r="D58" s="108">
        <v>0</v>
      </c>
      <c r="E58" s="108">
        <v>0</v>
      </c>
      <c r="F58" s="108">
        <v>0</v>
      </c>
      <c r="G58" s="109">
        <v>50000</v>
      </c>
      <c r="H58" s="111">
        <v>7.1647240854724075E-4</v>
      </c>
      <c r="I58" s="93">
        <v>20000</v>
      </c>
      <c r="J58" s="94">
        <v>70000</v>
      </c>
      <c r="K58" s="94">
        <v>0</v>
      </c>
      <c r="L58" s="94">
        <v>0</v>
      </c>
      <c r="M58" s="94">
        <v>0</v>
      </c>
      <c r="N58" s="94">
        <v>0</v>
      </c>
      <c r="O58" s="94">
        <v>0</v>
      </c>
      <c r="P58" s="101">
        <v>0</v>
      </c>
      <c r="Q58" s="96">
        <v>0</v>
      </c>
      <c r="R58" s="97">
        <v>70000</v>
      </c>
      <c r="S58" s="98">
        <v>9.2296104785297237E-4</v>
      </c>
      <c r="T58" s="98">
        <v>2.0648863930573162E-4</v>
      </c>
      <c r="U58" s="98">
        <v>0.2882018021104531</v>
      </c>
      <c r="V58" s="99">
        <v>0</v>
      </c>
    </row>
    <row r="59" spans="1:22">
      <c r="A59" s="100" t="s">
        <v>126</v>
      </c>
      <c r="B59" s="108">
        <v>46666</v>
      </c>
      <c r="C59" s="108">
        <v>0</v>
      </c>
      <c r="D59" s="108">
        <v>0</v>
      </c>
      <c r="E59" s="108">
        <v>0</v>
      </c>
      <c r="F59" s="108">
        <v>0</v>
      </c>
      <c r="G59" s="109">
        <v>46666</v>
      </c>
      <c r="H59" s="111">
        <v>6.686980283453107E-4</v>
      </c>
      <c r="I59" s="93">
        <v>0</v>
      </c>
      <c r="J59" s="94">
        <v>46666</v>
      </c>
      <c r="K59" s="94">
        <v>0</v>
      </c>
      <c r="L59" s="94">
        <v>0</v>
      </c>
      <c r="M59" s="94">
        <v>0</v>
      </c>
      <c r="N59" s="94">
        <v>0</v>
      </c>
      <c r="O59" s="94">
        <v>0</v>
      </c>
      <c r="P59" s="101">
        <v>0</v>
      </c>
      <c r="Q59" s="96">
        <v>0</v>
      </c>
      <c r="R59" s="97">
        <v>46666</v>
      </c>
      <c r="S59" s="98">
        <v>6.1529857513009732E-4</v>
      </c>
      <c r="T59" s="98">
        <v>-5.3399453215213387E-5</v>
      </c>
      <c r="U59" s="98">
        <v>-7.9855855635390438E-2</v>
      </c>
      <c r="V59" s="99">
        <v>0</v>
      </c>
    </row>
    <row r="60" spans="1:22">
      <c r="A60" s="100" t="s">
        <v>127</v>
      </c>
      <c r="B60" s="108">
        <v>40833</v>
      </c>
      <c r="C60" s="108">
        <v>0</v>
      </c>
      <c r="D60" s="108">
        <v>0</v>
      </c>
      <c r="E60" s="108">
        <v>0</v>
      </c>
      <c r="F60" s="108">
        <v>0</v>
      </c>
      <c r="G60" s="109">
        <v>40833</v>
      </c>
      <c r="H60" s="111">
        <v>5.8511435716418958E-4</v>
      </c>
      <c r="I60" s="93">
        <v>0</v>
      </c>
      <c r="J60" s="94">
        <v>40833</v>
      </c>
      <c r="K60" s="94">
        <v>0</v>
      </c>
      <c r="L60" s="94">
        <v>0</v>
      </c>
      <c r="M60" s="94">
        <v>0</v>
      </c>
      <c r="N60" s="94">
        <v>0</v>
      </c>
      <c r="O60" s="94">
        <v>0</v>
      </c>
      <c r="P60" s="101">
        <v>0</v>
      </c>
      <c r="Q60" s="96">
        <v>0</v>
      </c>
      <c r="R60" s="97">
        <v>40833</v>
      </c>
      <c r="S60" s="98">
        <v>5.383895495282917E-4</v>
      </c>
      <c r="T60" s="98">
        <v>-4.6724807635897879E-5</v>
      </c>
      <c r="U60" s="98">
        <v>-7.9855855635390549E-2</v>
      </c>
      <c r="V60" s="99">
        <v>0</v>
      </c>
    </row>
    <row r="61" spans="1:22">
      <c r="A61" s="100" t="s">
        <v>128</v>
      </c>
      <c r="B61" s="108">
        <v>33541</v>
      </c>
      <c r="C61" s="108">
        <v>0</v>
      </c>
      <c r="D61" s="108">
        <v>0</v>
      </c>
      <c r="E61" s="108">
        <v>0</v>
      </c>
      <c r="F61" s="108">
        <v>0</v>
      </c>
      <c r="G61" s="109">
        <v>33541</v>
      </c>
      <c r="H61" s="111">
        <v>4.8062402110166E-4</v>
      </c>
      <c r="I61" s="93">
        <v>0</v>
      </c>
      <c r="J61" s="94">
        <v>33541</v>
      </c>
      <c r="K61" s="94">
        <v>0</v>
      </c>
      <c r="L61" s="94">
        <v>0</v>
      </c>
      <c r="M61" s="94">
        <v>0</v>
      </c>
      <c r="N61" s="94">
        <v>0</v>
      </c>
      <c r="O61" s="94">
        <v>0</v>
      </c>
      <c r="P61" s="101">
        <v>0</v>
      </c>
      <c r="Q61" s="96">
        <v>0</v>
      </c>
      <c r="R61" s="97">
        <v>33541</v>
      </c>
      <c r="S61" s="98">
        <v>4.4224337865766494E-4</v>
      </c>
      <c r="T61" s="98">
        <v>-3.8380642443995052E-5</v>
      </c>
      <c r="U61" s="98">
        <v>-7.9855855635390549E-2</v>
      </c>
      <c r="V61" s="99">
        <v>0</v>
      </c>
    </row>
    <row r="62" spans="1:22">
      <c r="A62" s="100" t="s">
        <v>129</v>
      </c>
      <c r="B62" s="108">
        <v>30000</v>
      </c>
      <c r="C62" s="108">
        <v>0</v>
      </c>
      <c r="D62" s="108">
        <v>0</v>
      </c>
      <c r="E62" s="108">
        <v>0</v>
      </c>
      <c r="F62" s="108">
        <v>0</v>
      </c>
      <c r="G62" s="109">
        <v>30000</v>
      </c>
      <c r="H62" s="111">
        <v>4.2988344512834444E-4</v>
      </c>
      <c r="I62" s="93">
        <v>20000</v>
      </c>
      <c r="J62" s="94">
        <v>50000</v>
      </c>
      <c r="K62" s="94">
        <v>0</v>
      </c>
      <c r="L62" s="94">
        <v>0</v>
      </c>
      <c r="M62" s="94">
        <v>0</v>
      </c>
      <c r="N62" s="94">
        <v>0</v>
      </c>
      <c r="O62" s="94">
        <v>0</v>
      </c>
      <c r="P62" s="101">
        <v>0</v>
      </c>
      <c r="Q62" s="96">
        <v>0</v>
      </c>
      <c r="R62" s="97">
        <v>50000</v>
      </c>
      <c r="S62" s="98">
        <v>6.5925789132355176E-4</v>
      </c>
      <c r="T62" s="98">
        <v>2.2937444619520732E-4</v>
      </c>
      <c r="U62" s="98">
        <v>0.5335735739410159</v>
      </c>
      <c r="V62" s="99">
        <v>0</v>
      </c>
    </row>
    <row r="63" spans="1:22">
      <c r="A63" s="100" t="s">
        <v>130</v>
      </c>
      <c r="B63" s="108">
        <v>30000</v>
      </c>
      <c r="C63" s="108">
        <v>0</v>
      </c>
      <c r="D63" s="108">
        <v>0</v>
      </c>
      <c r="E63" s="108">
        <v>0</v>
      </c>
      <c r="F63" s="108">
        <v>0</v>
      </c>
      <c r="G63" s="109">
        <v>30000</v>
      </c>
      <c r="H63" s="111">
        <v>4.2988344512834444E-4</v>
      </c>
      <c r="I63" s="93">
        <v>20000</v>
      </c>
      <c r="J63" s="94">
        <v>50000</v>
      </c>
      <c r="K63" s="94">
        <v>0</v>
      </c>
      <c r="L63" s="94">
        <v>0</v>
      </c>
      <c r="M63" s="94">
        <v>0</v>
      </c>
      <c r="N63" s="94">
        <v>0</v>
      </c>
      <c r="O63" s="94">
        <v>0</v>
      </c>
      <c r="P63" s="101">
        <v>0</v>
      </c>
      <c r="Q63" s="96">
        <v>0</v>
      </c>
      <c r="R63" s="97">
        <v>50000</v>
      </c>
      <c r="S63" s="98">
        <v>6.5925789132355176E-4</v>
      </c>
      <c r="T63" s="98">
        <v>2.2937444619520732E-4</v>
      </c>
      <c r="U63" s="98">
        <v>0.5335735739410159</v>
      </c>
      <c r="V63" s="99">
        <v>0</v>
      </c>
    </row>
    <row r="64" spans="1:22">
      <c r="A64" s="100" t="s">
        <v>131</v>
      </c>
      <c r="B64" s="108">
        <v>30000</v>
      </c>
      <c r="C64" s="108">
        <v>0</v>
      </c>
      <c r="D64" s="108">
        <v>0</v>
      </c>
      <c r="E64" s="108">
        <v>0</v>
      </c>
      <c r="F64" s="108">
        <v>0</v>
      </c>
      <c r="G64" s="109">
        <v>30000</v>
      </c>
      <c r="H64" s="111">
        <v>4.2988344512834444E-4</v>
      </c>
      <c r="I64" s="93">
        <v>20000</v>
      </c>
      <c r="J64" s="94">
        <v>50000</v>
      </c>
      <c r="K64" s="94">
        <v>0</v>
      </c>
      <c r="L64" s="94">
        <v>0</v>
      </c>
      <c r="M64" s="94">
        <v>0</v>
      </c>
      <c r="N64" s="94">
        <v>0</v>
      </c>
      <c r="O64" s="94">
        <v>0</v>
      </c>
      <c r="P64" s="101">
        <v>0</v>
      </c>
      <c r="Q64" s="96">
        <v>0</v>
      </c>
      <c r="R64" s="97">
        <v>50000</v>
      </c>
      <c r="S64" s="98">
        <v>6.5925789132355176E-4</v>
      </c>
      <c r="T64" s="98">
        <v>2.2937444619520732E-4</v>
      </c>
      <c r="U64" s="98">
        <v>0.5335735739410159</v>
      </c>
      <c r="V64" s="99">
        <v>0</v>
      </c>
    </row>
    <row r="65" spans="1:22">
      <c r="A65" s="100" t="s">
        <v>132</v>
      </c>
      <c r="B65" s="108">
        <v>25000</v>
      </c>
      <c r="C65" s="108">
        <v>0</v>
      </c>
      <c r="D65" s="108">
        <v>0</v>
      </c>
      <c r="E65" s="108">
        <v>0</v>
      </c>
      <c r="F65" s="108">
        <v>0</v>
      </c>
      <c r="G65" s="109">
        <v>25000</v>
      </c>
      <c r="H65" s="111">
        <v>3.5823620427362037E-4</v>
      </c>
      <c r="I65" s="93">
        <v>0</v>
      </c>
      <c r="J65" s="94">
        <v>25000</v>
      </c>
      <c r="K65" s="94">
        <v>0</v>
      </c>
      <c r="L65" s="94">
        <v>0</v>
      </c>
      <c r="M65" s="94">
        <v>0</v>
      </c>
      <c r="N65" s="94">
        <v>0</v>
      </c>
      <c r="O65" s="94">
        <v>0</v>
      </c>
      <c r="P65" s="101">
        <v>0</v>
      </c>
      <c r="Q65" s="96">
        <v>0</v>
      </c>
      <c r="R65" s="97">
        <v>25000</v>
      </c>
      <c r="S65" s="98">
        <v>3.2962894566177588E-4</v>
      </c>
      <c r="T65" s="98">
        <v>-2.8607258611844497E-5</v>
      </c>
      <c r="U65" s="98">
        <v>-7.9855855635390549E-2</v>
      </c>
      <c r="V65" s="99">
        <v>0</v>
      </c>
    </row>
    <row r="66" spans="1:22">
      <c r="A66" s="100" t="s">
        <v>133</v>
      </c>
      <c r="B66" s="108">
        <v>25000</v>
      </c>
      <c r="C66" s="108">
        <v>0</v>
      </c>
      <c r="D66" s="108">
        <v>0</v>
      </c>
      <c r="E66" s="108">
        <v>0</v>
      </c>
      <c r="F66" s="108">
        <v>0</v>
      </c>
      <c r="G66" s="109">
        <v>25000</v>
      </c>
      <c r="H66" s="111">
        <v>3.5823620427362037E-4</v>
      </c>
      <c r="I66" s="93">
        <v>0</v>
      </c>
      <c r="J66" s="94">
        <v>25000</v>
      </c>
      <c r="K66" s="94">
        <v>0</v>
      </c>
      <c r="L66" s="94">
        <v>0</v>
      </c>
      <c r="M66" s="94">
        <v>0</v>
      </c>
      <c r="N66" s="94">
        <v>0</v>
      </c>
      <c r="O66" s="94">
        <v>0</v>
      </c>
      <c r="P66" s="101">
        <v>0</v>
      </c>
      <c r="Q66" s="96">
        <v>0</v>
      </c>
      <c r="R66" s="97">
        <v>25000</v>
      </c>
      <c r="S66" s="98">
        <v>3.2962894566177588E-4</v>
      </c>
      <c r="T66" s="98">
        <v>-2.8607258611844497E-5</v>
      </c>
      <c r="U66" s="98">
        <v>-7.9855855635390549E-2</v>
      </c>
      <c r="V66" s="99">
        <v>0</v>
      </c>
    </row>
    <row r="67" spans="1:22">
      <c r="A67" s="100" t="s">
        <v>134</v>
      </c>
      <c r="B67" s="108">
        <v>18125</v>
      </c>
      <c r="C67" s="108">
        <v>0</v>
      </c>
      <c r="D67" s="108">
        <v>0</v>
      </c>
      <c r="E67" s="108">
        <v>0</v>
      </c>
      <c r="F67" s="108">
        <v>0</v>
      </c>
      <c r="G67" s="109">
        <v>18125</v>
      </c>
      <c r="H67" s="111">
        <v>2.5972124809837477E-4</v>
      </c>
      <c r="I67" s="93">
        <v>0</v>
      </c>
      <c r="J67" s="94">
        <v>18125</v>
      </c>
      <c r="K67" s="94">
        <v>0</v>
      </c>
      <c r="L67" s="94">
        <v>0</v>
      </c>
      <c r="M67" s="94">
        <v>0</v>
      </c>
      <c r="N67" s="94">
        <v>0</v>
      </c>
      <c r="O67" s="94">
        <v>0</v>
      </c>
      <c r="P67" s="101">
        <v>0</v>
      </c>
      <c r="Q67" s="96">
        <v>0</v>
      </c>
      <c r="R67" s="97">
        <v>18125</v>
      </c>
      <c r="S67" s="98">
        <v>2.389809856047875E-4</v>
      </c>
      <c r="T67" s="98">
        <v>-2.0740262493587272E-5</v>
      </c>
      <c r="U67" s="98">
        <v>-7.9855855635390549E-2</v>
      </c>
      <c r="V67" s="99">
        <v>0</v>
      </c>
    </row>
    <row r="68" spans="1:22">
      <c r="A68" s="100" t="s">
        <v>135</v>
      </c>
      <c r="B68" s="108">
        <v>13750</v>
      </c>
      <c r="C68" s="108">
        <v>0</v>
      </c>
      <c r="D68" s="108">
        <v>0</v>
      </c>
      <c r="E68" s="108">
        <v>0</v>
      </c>
      <c r="F68" s="108">
        <v>0</v>
      </c>
      <c r="G68" s="109">
        <v>13750</v>
      </c>
      <c r="H68" s="111">
        <v>1.970299123504912E-4</v>
      </c>
      <c r="I68" s="93">
        <v>0</v>
      </c>
      <c r="J68" s="94">
        <v>13750</v>
      </c>
      <c r="K68" s="94">
        <v>0</v>
      </c>
      <c r="L68" s="94">
        <v>0</v>
      </c>
      <c r="M68" s="94">
        <v>0</v>
      </c>
      <c r="N68" s="94">
        <v>0</v>
      </c>
      <c r="O68" s="94">
        <v>0</v>
      </c>
      <c r="P68" s="101">
        <v>0</v>
      </c>
      <c r="Q68" s="96">
        <v>0</v>
      </c>
      <c r="R68" s="97">
        <v>13750</v>
      </c>
      <c r="S68" s="98">
        <v>1.8129592011397673E-4</v>
      </c>
      <c r="T68" s="98">
        <v>-1.5733992236514476E-5</v>
      </c>
      <c r="U68" s="98">
        <v>-7.9855855635390549E-2</v>
      </c>
      <c r="V68" s="99">
        <v>0</v>
      </c>
    </row>
    <row r="69" spans="1:22">
      <c r="A69" s="100" t="s">
        <v>136</v>
      </c>
      <c r="B69" s="108">
        <v>13750</v>
      </c>
      <c r="C69" s="108">
        <v>0</v>
      </c>
      <c r="D69" s="108">
        <v>0</v>
      </c>
      <c r="E69" s="108">
        <v>0</v>
      </c>
      <c r="F69" s="108">
        <v>0</v>
      </c>
      <c r="G69" s="109">
        <v>13750</v>
      </c>
      <c r="H69" s="111">
        <v>1.970299123504912E-4</v>
      </c>
      <c r="I69" s="93">
        <v>0</v>
      </c>
      <c r="J69" s="94">
        <v>13750</v>
      </c>
      <c r="K69" s="94">
        <v>0</v>
      </c>
      <c r="L69" s="94">
        <v>0</v>
      </c>
      <c r="M69" s="94">
        <v>0</v>
      </c>
      <c r="N69" s="94">
        <v>0</v>
      </c>
      <c r="O69" s="94">
        <v>0</v>
      </c>
      <c r="P69" s="101">
        <v>0</v>
      </c>
      <c r="Q69" s="96">
        <v>0</v>
      </c>
      <c r="R69" s="97">
        <v>13750</v>
      </c>
      <c r="S69" s="98">
        <v>1.8129592011397673E-4</v>
      </c>
      <c r="T69" s="98">
        <v>-1.5733992236514476E-5</v>
      </c>
      <c r="U69" s="98">
        <v>-7.9855855635390549E-2</v>
      </c>
      <c r="V69" s="99">
        <v>0</v>
      </c>
    </row>
    <row r="70" spans="1:22">
      <c r="A70" s="100" t="s">
        <v>137</v>
      </c>
      <c r="B70" s="108">
        <v>13125</v>
      </c>
      <c r="C70" s="108">
        <v>0</v>
      </c>
      <c r="D70" s="108">
        <v>0</v>
      </c>
      <c r="E70" s="108">
        <v>0</v>
      </c>
      <c r="F70" s="108">
        <v>0</v>
      </c>
      <c r="G70" s="109">
        <v>13125</v>
      </c>
      <c r="H70" s="111">
        <v>1.8807400724365068E-4</v>
      </c>
      <c r="I70" s="93">
        <v>0</v>
      </c>
      <c r="J70" s="94">
        <v>13125</v>
      </c>
      <c r="K70" s="94">
        <v>0</v>
      </c>
      <c r="L70" s="94">
        <v>0</v>
      </c>
      <c r="M70" s="94">
        <v>0</v>
      </c>
      <c r="N70" s="94">
        <v>0</v>
      </c>
      <c r="O70" s="94">
        <v>0</v>
      </c>
      <c r="P70" s="101">
        <v>0</v>
      </c>
      <c r="Q70" s="96">
        <v>0</v>
      </c>
      <c r="R70" s="97">
        <v>13125</v>
      </c>
      <c r="S70" s="98">
        <v>1.7305519647243232E-4</v>
      </c>
      <c r="T70" s="98">
        <v>-1.5018810771218362E-5</v>
      </c>
      <c r="U70" s="98">
        <v>-7.9855855635390549E-2</v>
      </c>
      <c r="V70" s="99">
        <v>0</v>
      </c>
    </row>
    <row r="71" spans="1:22">
      <c r="A71" s="100" t="s">
        <v>138</v>
      </c>
      <c r="B71" s="108">
        <v>12500</v>
      </c>
      <c r="C71" s="108">
        <v>0</v>
      </c>
      <c r="D71" s="108">
        <v>0</v>
      </c>
      <c r="E71" s="108">
        <v>0</v>
      </c>
      <c r="F71" s="108">
        <v>0</v>
      </c>
      <c r="G71" s="109">
        <v>12500</v>
      </c>
      <c r="H71" s="111">
        <v>1.7911810213681019E-4</v>
      </c>
      <c r="I71" s="93">
        <v>0</v>
      </c>
      <c r="J71" s="94">
        <v>12500</v>
      </c>
      <c r="K71" s="94">
        <v>0</v>
      </c>
      <c r="L71" s="94">
        <v>0</v>
      </c>
      <c r="M71" s="94">
        <v>0</v>
      </c>
      <c r="N71" s="94">
        <v>0</v>
      </c>
      <c r="O71" s="94">
        <v>0</v>
      </c>
      <c r="P71" s="101">
        <v>0</v>
      </c>
      <c r="Q71" s="96">
        <v>0</v>
      </c>
      <c r="R71" s="97">
        <v>12500</v>
      </c>
      <c r="S71" s="98">
        <v>1.6481447283088794E-4</v>
      </c>
      <c r="T71" s="98">
        <v>-1.4303629305922248E-5</v>
      </c>
      <c r="U71" s="98">
        <v>-7.9855855635390549E-2</v>
      </c>
      <c r="V71" s="99">
        <v>0</v>
      </c>
    </row>
    <row r="72" spans="1:22">
      <c r="A72" s="100" t="s">
        <v>139</v>
      </c>
      <c r="B72" s="108">
        <v>10000</v>
      </c>
      <c r="C72" s="108">
        <v>0</v>
      </c>
      <c r="D72" s="108">
        <v>0</v>
      </c>
      <c r="E72" s="108">
        <v>0</v>
      </c>
      <c r="F72" s="108">
        <v>0</v>
      </c>
      <c r="G72" s="109">
        <v>10000</v>
      </c>
      <c r="H72" s="111">
        <v>1.4329448170944813E-4</v>
      </c>
      <c r="I72" s="93">
        <v>0</v>
      </c>
      <c r="J72" s="94">
        <v>10000</v>
      </c>
      <c r="K72" s="94">
        <v>0</v>
      </c>
      <c r="L72" s="94">
        <v>0</v>
      </c>
      <c r="M72" s="94">
        <v>0</v>
      </c>
      <c r="N72" s="94">
        <v>0</v>
      </c>
      <c r="O72" s="94">
        <v>0</v>
      </c>
      <c r="P72" s="101">
        <v>0</v>
      </c>
      <c r="Q72" s="96">
        <v>0</v>
      </c>
      <c r="R72" s="97">
        <v>10000</v>
      </c>
      <c r="S72" s="98">
        <v>1.3185157826471034E-4</v>
      </c>
      <c r="T72" s="98">
        <v>-1.1442903444737793E-5</v>
      </c>
      <c r="U72" s="98">
        <v>-7.9855855635390438E-2</v>
      </c>
      <c r="V72" s="99">
        <v>0</v>
      </c>
    </row>
    <row r="73" spans="1:22">
      <c r="A73" s="100" t="s">
        <v>140</v>
      </c>
      <c r="B73" s="108">
        <v>10000</v>
      </c>
      <c r="C73" s="108">
        <v>0</v>
      </c>
      <c r="D73" s="108">
        <v>0</v>
      </c>
      <c r="E73" s="108">
        <v>0</v>
      </c>
      <c r="F73" s="108">
        <v>0</v>
      </c>
      <c r="G73" s="109">
        <v>10000</v>
      </c>
      <c r="H73" s="111">
        <v>1.4329448170944813E-4</v>
      </c>
      <c r="I73" s="93">
        <v>0</v>
      </c>
      <c r="J73" s="94">
        <v>10000</v>
      </c>
      <c r="K73" s="94">
        <v>0</v>
      </c>
      <c r="L73" s="94">
        <v>0</v>
      </c>
      <c r="M73" s="94">
        <v>0</v>
      </c>
      <c r="N73" s="94">
        <v>0</v>
      </c>
      <c r="O73" s="94">
        <v>0</v>
      </c>
      <c r="P73" s="101">
        <v>0</v>
      </c>
      <c r="Q73" s="96">
        <v>0</v>
      </c>
      <c r="R73" s="97">
        <v>10000</v>
      </c>
      <c r="S73" s="98">
        <v>1.3185157826471034E-4</v>
      </c>
      <c r="T73" s="98">
        <v>-1.1442903444737793E-5</v>
      </c>
      <c r="U73" s="98">
        <v>-7.9855855635390438E-2</v>
      </c>
      <c r="V73" s="99">
        <v>0</v>
      </c>
    </row>
    <row r="74" spans="1:22">
      <c r="A74" s="100" t="s">
        <v>141</v>
      </c>
      <c r="B74" s="108">
        <v>5000</v>
      </c>
      <c r="C74" s="108">
        <v>0</v>
      </c>
      <c r="D74" s="108">
        <v>0</v>
      </c>
      <c r="E74" s="108">
        <v>0</v>
      </c>
      <c r="F74" s="108">
        <v>0</v>
      </c>
      <c r="G74" s="109">
        <v>5000</v>
      </c>
      <c r="H74" s="111">
        <v>7.1647240854724064E-5</v>
      </c>
      <c r="I74" s="93">
        <v>0</v>
      </c>
      <c r="J74" s="94">
        <v>5000</v>
      </c>
      <c r="K74" s="94">
        <v>0</v>
      </c>
      <c r="L74" s="94">
        <v>0</v>
      </c>
      <c r="M74" s="94">
        <v>0</v>
      </c>
      <c r="N74" s="94">
        <v>0</v>
      </c>
      <c r="O74" s="94">
        <v>0</v>
      </c>
      <c r="P74" s="101">
        <v>0</v>
      </c>
      <c r="Q74" s="96">
        <v>0</v>
      </c>
      <c r="R74" s="97">
        <v>5000</v>
      </c>
      <c r="S74" s="98">
        <v>6.5925789132355168E-5</v>
      </c>
      <c r="T74" s="98">
        <v>-5.7214517223688966E-6</v>
      </c>
      <c r="U74" s="98">
        <v>-7.9855855635390438E-2</v>
      </c>
      <c r="V74" s="99">
        <v>0</v>
      </c>
    </row>
    <row r="75" spans="1:22">
      <c r="A75" s="100" t="s">
        <v>142</v>
      </c>
      <c r="B75" s="108">
        <v>5000</v>
      </c>
      <c r="C75" s="108">
        <v>0</v>
      </c>
      <c r="D75" s="108">
        <v>0</v>
      </c>
      <c r="E75" s="108">
        <v>0</v>
      </c>
      <c r="F75" s="108">
        <v>0</v>
      </c>
      <c r="G75" s="109">
        <v>5000</v>
      </c>
      <c r="H75" s="111">
        <v>7.1647240854724064E-5</v>
      </c>
      <c r="I75" s="93">
        <v>0</v>
      </c>
      <c r="J75" s="94">
        <v>5000</v>
      </c>
      <c r="K75" s="94">
        <v>0</v>
      </c>
      <c r="L75" s="94">
        <v>0</v>
      </c>
      <c r="M75" s="94">
        <v>0</v>
      </c>
      <c r="N75" s="94">
        <v>0</v>
      </c>
      <c r="O75" s="94">
        <v>0</v>
      </c>
      <c r="P75" s="101">
        <v>0</v>
      </c>
      <c r="Q75" s="96">
        <v>0</v>
      </c>
      <c r="R75" s="97">
        <v>5000</v>
      </c>
      <c r="S75" s="98">
        <v>6.5925789132355168E-5</v>
      </c>
      <c r="T75" s="98">
        <v>-5.7214517223688966E-6</v>
      </c>
      <c r="U75" s="98">
        <v>-7.9855855635390438E-2</v>
      </c>
      <c r="V75" s="99">
        <v>0</v>
      </c>
    </row>
    <row r="76" spans="1:22">
      <c r="A76" s="100" t="s">
        <v>143</v>
      </c>
      <c r="B76" s="108">
        <v>3750</v>
      </c>
      <c r="C76" s="108">
        <v>0</v>
      </c>
      <c r="D76" s="108">
        <v>0</v>
      </c>
      <c r="E76" s="108">
        <v>0</v>
      </c>
      <c r="F76" s="108">
        <v>0</v>
      </c>
      <c r="G76" s="109">
        <v>3750</v>
      </c>
      <c r="H76" s="111">
        <v>5.3735430641043055E-5</v>
      </c>
      <c r="I76" s="93">
        <v>0</v>
      </c>
      <c r="J76" s="94">
        <v>3750</v>
      </c>
      <c r="K76" s="94">
        <v>0</v>
      </c>
      <c r="L76" s="94">
        <v>0</v>
      </c>
      <c r="M76" s="94">
        <v>0</v>
      </c>
      <c r="N76" s="94">
        <v>0</v>
      </c>
      <c r="O76" s="94">
        <v>0</v>
      </c>
      <c r="P76" s="101">
        <v>0</v>
      </c>
      <c r="Q76" s="96">
        <v>0</v>
      </c>
      <c r="R76" s="97">
        <v>3750</v>
      </c>
      <c r="S76" s="98">
        <v>4.9444341849266379E-5</v>
      </c>
      <c r="T76" s="98">
        <v>-4.2910887917766758E-6</v>
      </c>
      <c r="U76" s="98">
        <v>-7.9855855635390549E-2</v>
      </c>
      <c r="V76" s="99">
        <v>0</v>
      </c>
    </row>
    <row r="77" spans="1:22">
      <c r="A77" s="100" t="s">
        <v>144</v>
      </c>
      <c r="B77" s="108">
        <v>0</v>
      </c>
      <c r="C77" s="108">
        <v>0</v>
      </c>
      <c r="D77" s="108">
        <v>0</v>
      </c>
      <c r="E77" s="108">
        <v>0</v>
      </c>
      <c r="F77" s="108">
        <v>0</v>
      </c>
      <c r="G77" s="109">
        <v>0</v>
      </c>
      <c r="H77" s="111">
        <v>0</v>
      </c>
      <c r="I77" s="93">
        <v>50000</v>
      </c>
      <c r="J77" s="94">
        <v>50000</v>
      </c>
      <c r="K77" s="94">
        <v>0</v>
      </c>
      <c r="L77" s="94">
        <v>0</v>
      </c>
      <c r="M77" s="94">
        <v>0</v>
      </c>
      <c r="N77" s="94">
        <v>0</v>
      </c>
      <c r="O77" s="94">
        <v>0</v>
      </c>
      <c r="P77" s="101">
        <v>0</v>
      </c>
      <c r="Q77" s="96">
        <v>0</v>
      </c>
      <c r="R77" s="97">
        <v>50000</v>
      </c>
      <c r="S77" s="98">
        <v>6.5925789132355176E-4</v>
      </c>
      <c r="T77" s="98">
        <v>6.5925789132355176E-4</v>
      </c>
      <c r="U77" s="98">
        <v>0</v>
      </c>
      <c r="V77" s="99">
        <v>0</v>
      </c>
    </row>
    <row r="78" spans="1:22">
      <c r="A78" s="100" t="s">
        <v>145</v>
      </c>
      <c r="B78" s="108">
        <v>0</v>
      </c>
      <c r="C78" s="108">
        <v>0</v>
      </c>
      <c r="D78" s="108">
        <v>0</v>
      </c>
      <c r="E78" s="108">
        <v>0</v>
      </c>
      <c r="F78" s="108">
        <v>0</v>
      </c>
      <c r="G78" s="109">
        <v>0</v>
      </c>
      <c r="H78" s="111">
        <v>0</v>
      </c>
      <c r="I78" s="93">
        <v>70000</v>
      </c>
      <c r="J78" s="94">
        <v>70000</v>
      </c>
      <c r="K78" s="94">
        <v>0</v>
      </c>
      <c r="L78" s="94">
        <v>0</v>
      </c>
      <c r="M78" s="94">
        <v>0</v>
      </c>
      <c r="N78" s="94">
        <v>0</v>
      </c>
      <c r="O78" s="94">
        <v>0</v>
      </c>
      <c r="P78" s="101">
        <v>0</v>
      </c>
      <c r="Q78" s="96">
        <v>0</v>
      </c>
      <c r="R78" s="97">
        <v>70000</v>
      </c>
      <c r="S78" s="98">
        <v>9.2296104785297237E-4</v>
      </c>
      <c r="T78" s="98">
        <v>9.2296104785297237E-4</v>
      </c>
      <c r="U78" s="98">
        <v>0</v>
      </c>
      <c r="V78" s="99">
        <v>0</v>
      </c>
    </row>
    <row r="79" spans="1:22">
      <c r="A79" s="100" t="s">
        <v>146</v>
      </c>
      <c r="B79" s="108">
        <v>0</v>
      </c>
      <c r="C79" s="108">
        <v>0</v>
      </c>
      <c r="D79" s="108">
        <v>0</v>
      </c>
      <c r="E79" s="108">
        <v>0</v>
      </c>
      <c r="F79" s="108">
        <v>0</v>
      </c>
      <c r="G79" s="109">
        <v>0</v>
      </c>
      <c r="H79" s="111">
        <v>0</v>
      </c>
      <c r="I79" s="93">
        <v>150000</v>
      </c>
      <c r="J79" s="94">
        <v>150000</v>
      </c>
      <c r="K79" s="94">
        <v>0</v>
      </c>
      <c r="L79" s="94">
        <v>0</v>
      </c>
      <c r="M79" s="94">
        <v>0</v>
      </c>
      <c r="N79" s="94">
        <v>0</v>
      </c>
      <c r="O79" s="94">
        <v>0</v>
      </c>
      <c r="P79" s="101">
        <v>0</v>
      </c>
      <c r="Q79" s="96">
        <v>0</v>
      </c>
      <c r="R79" s="97">
        <v>150000</v>
      </c>
      <c r="S79" s="98">
        <v>1.9777736739706553E-3</v>
      </c>
      <c r="T79" s="98">
        <v>1.9777736739706553E-3</v>
      </c>
      <c r="U79" s="98">
        <v>0</v>
      </c>
      <c r="V79" s="99">
        <v>0</v>
      </c>
    </row>
    <row r="80" spans="1:22">
      <c r="A80" s="100" t="s">
        <v>147</v>
      </c>
      <c r="B80" s="108">
        <v>0</v>
      </c>
      <c r="C80" s="108">
        <v>0</v>
      </c>
      <c r="D80" s="108">
        <v>0</v>
      </c>
      <c r="E80" s="108">
        <v>0</v>
      </c>
      <c r="F80" s="108">
        <v>0</v>
      </c>
      <c r="G80" s="109">
        <v>0</v>
      </c>
      <c r="H80" s="111">
        <v>0</v>
      </c>
      <c r="I80" s="93">
        <v>70000</v>
      </c>
      <c r="J80" s="94">
        <v>70000</v>
      </c>
      <c r="K80" s="94">
        <v>0</v>
      </c>
      <c r="L80" s="94">
        <v>0</v>
      </c>
      <c r="M80" s="94">
        <v>142287</v>
      </c>
      <c r="N80" s="94">
        <v>0</v>
      </c>
      <c r="O80" s="94">
        <v>0</v>
      </c>
      <c r="P80" s="101">
        <v>50000</v>
      </c>
      <c r="Q80" s="96">
        <v>142287</v>
      </c>
      <c r="R80" s="97">
        <v>354574</v>
      </c>
      <c r="S80" s="98">
        <v>4.6751141511631403E-3</v>
      </c>
      <c r="T80" s="98">
        <v>4.6751141511631403E-3</v>
      </c>
      <c r="U80" s="98">
        <v>0</v>
      </c>
      <c r="V80" s="99">
        <v>49999.6518</v>
      </c>
    </row>
    <row r="81" spans="1:22">
      <c r="A81" s="100" t="s">
        <v>148</v>
      </c>
      <c r="B81" s="108">
        <v>0</v>
      </c>
      <c r="C81" s="108">
        <v>0</v>
      </c>
      <c r="D81" s="108">
        <v>0</v>
      </c>
      <c r="E81" s="108">
        <v>0</v>
      </c>
      <c r="F81" s="108">
        <v>0</v>
      </c>
      <c r="G81" s="109">
        <v>0</v>
      </c>
      <c r="H81" s="111">
        <v>0</v>
      </c>
      <c r="I81" s="93">
        <v>150000</v>
      </c>
      <c r="J81" s="94">
        <v>150000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101">
        <v>0</v>
      </c>
      <c r="Q81" s="96">
        <v>0</v>
      </c>
      <c r="R81" s="97">
        <v>150000</v>
      </c>
      <c r="S81" s="98">
        <v>1.9777736739706553E-3</v>
      </c>
      <c r="T81" s="98">
        <v>1.9777736739706553E-3</v>
      </c>
      <c r="U81" s="98">
        <v>0</v>
      </c>
      <c r="V81" s="99">
        <v>0</v>
      </c>
    </row>
    <row r="82" spans="1:22">
      <c r="A82" s="100" t="s">
        <v>149</v>
      </c>
      <c r="B82" s="108">
        <v>0</v>
      </c>
      <c r="C82" s="108">
        <v>52323</v>
      </c>
      <c r="D82" s="108">
        <v>0</v>
      </c>
      <c r="E82" s="108">
        <v>0</v>
      </c>
      <c r="F82" s="108">
        <v>0</v>
      </c>
      <c r="G82" s="109">
        <v>52323</v>
      </c>
      <c r="H82" s="111">
        <v>7.497597166483455E-4</v>
      </c>
      <c r="I82" s="93">
        <v>0</v>
      </c>
      <c r="J82" s="94">
        <v>0</v>
      </c>
      <c r="K82" s="94">
        <v>52323</v>
      </c>
      <c r="L82" s="94">
        <v>0</v>
      </c>
      <c r="M82" s="94">
        <v>0</v>
      </c>
      <c r="N82" s="94">
        <v>0</v>
      </c>
      <c r="O82" s="94">
        <v>0</v>
      </c>
      <c r="P82" s="101">
        <v>0</v>
      </c>
      <c r="Q82" s="96">
        <v>0</v>
      </c>
      <c r="R82" s="97">
        <v>52323</v>
      </c>
      <c r="S82" s="98">
        <v>6.8988701295444397E-4</v>
      </c>
      <c r="T82" s="98">
        <v>-5.9872703693901528E-5</v>
      </c>
      <c r="U82" s="98">
        <v>-7.9855855635390438E-2</v>
      </c>
      <c r="V82" s="99">
        <v>0</v>
      </c>
    </row>
    <row r="83" spans="1:22">
      <c r="A83" s="100"/>
      <c r="B83" s="108"/>
      <c r="C83" s="108"/>
      <c r="D83" s="108"/>
      <c r="E83" s="114"/>
      <c r="F83" s="114"/>
      <c r="G83" s="115"/>
      <c r="H83" s="111"/>
      <c r="I83" s="116"/>
      <c r="J83" s="117"/>
      <c r="K83" s="117"/>
      <c r="L83" s="117"/>
      <c r="M83" s="117"/>
      <c r="N83" s="117"/>
      <c r="O83" s="117"/>
      <c r="P83" s="118"/>
      <c r="Q83" s="97"/>
      <c r="R83" s="97"/>
      <c r="S83" s="98"/>
      <c r="T83" s="98"/>
      <c r="U83" s="98"/>
      <c r="V83" s="99"/>
    </row>
    <row r="84" spans="1:22">
      <c r="A84" s="102" t="s">
        <v>150</v>
      </c>
      <c r="B84" s="119"/>
      <c r="C84" s="119"/>
      <c r="D84" s="119"/>
      <c r="E84" s="119"/>
      <c r="F84" s="119"/>
      <c r="G84" s="119"/>
      <c r="H84" s="120"/>
      <c r="I84" s="121"/>
      <c r="J84" s="122"/>
      <c r="K84" s="122"/>
      <c r="L84" s="122"/>
      <c r="M84" s="122"/>
      <c r="N84" s="122"/>
      <c r="O84" s="122"/>
      <c r="P84" s="123"/>
      <c r="Q84" s="122"/>
      <c r="R84" s="122"/>
      <c r="S84" s="124"/>
      <c r="T84" s="124"/>
      <c r="U84" s="124"/>
      <c r="V84" s="125"/>
    </row>
    <row r="85" spans="1:22">
      <c r="A85" s="100" t="s">
        <v>151</v>
      </c>
      <c r="B85" s="126"/>
      <c r="C85" s="126"/>
      <c r="D85" s="126"/>
      <c r="E85" s="126"/>
      <c r="F85" s="126"/>
      <c r="G85" s="127">
        <v>25760172</v>
      </c>
      <c r="H85" s="128">
        <v>0.3691290495486238</v>
      </c>
      <c r="I85" s="116"/>
      <c r="J85" s="117"/>
      <c r="K85" s="117"/>
      <c r="L85" s="117"/>
      <c r="M85" s="117"/>
      <c r="N85" s="117"/>
      <c r="O85" s="117"/>
      <c r="P85" s="118"/>
      <c r="Q85" s="117"/>
      <c r="R85" s="129">
        <v>22236848</v>
      </c>
      <c r="S85" s="130">
        <v>0.29319635044324677</v>
      </c>
      <c r="T85" s="130">
        <v>-7.5932699105377033E-2</v>
      </c>
      <c r="U85" s="98"/>
      <c r="V85" s="99"/>
    </row>
    <row r="86" spans="1:22">
      <c r="A86" s="100" t="s">
        <v>152</v>
      </c>
      <c r="B86" s="131"/>
      <c r="C86" s="131"/>
      <c r="D86" s="131"/>
      <c r="E86" s="131"/>
      <c r="F86" s="131"/>
      <c r="G86" s="131"/>
      <c r="H86" s="132"/>
      <c r="I86" s="133"/>
      <c r="J86" s="96"/>
      <c r="K86" s="96"/>
      <c r="L86" s="96"/>
      <c r="M86" s="96"/>
      <c r="N86" s="96"/>
      <c r="O86" s="96"/>
      <c r="P86" s="134"/>
      <c r="Q86" s="96"/>
      <c r="R86" s="96">
        <v>0</v>
      </c>
      <c r="S86" s="135">
        <v>0</v>
      </c>
      <c r="T86" s="130">
        <v>0</v>
      </c>
      <c r="U86" s="98"/>
      <c r="V86" s="136"/>
    </row>
    <row r="87" spans="1:22" ht="15" thickBot="1">
      <c r="A87" s="137" t="s">
        <v>153</v>
      </c>
      <c r="B87" s="138">
        <v>5734386</v>
      </c>
      <c r="C87" s="138">
        <v>52323</v>
      </c>
      <c r="D87" s="138">
        <v>16896287</v>
      </c>
      <c r="E87" s="138">
        <v>4268638</v>
      </c>
      <c r="F87" s="138">
        <v>17074552</v>
      </c>
      <c r="G87" s="138">
        <v>69786358</v>
      </c>
      <c r="H87" s="139">
        <v>1.0000000000000004</v>
      </c>
      <c r="I87" s="140">
        <v>2726118</v>
      </c>
      <c r="J87" s="141">
        <v>8460504</v>
      </c>
      <c r="K87" s="141">
        <v>52323</v>
      </c>
      <c r="L87" s="141">
        <v>16641925</v>
      </c>
      <c r="M87" s="141">
        <v>797206</v>
      </c>
      <c r="N87" s="141">
        <v>4268638</v>
      </c>
      <c r="O87" s="141">
        <v>19031009</v>
      </c>
      <c r="P87" s="142">
        <v>1530140</v>
      </c>
      <c r="Q87" s="143">
        <v>4354401</v>
      </c>
      <c r="R87" s="143">
        <v>75842854</v>
      </c>
      <c r="S87" s="144">
        <v>1</v>
      </c>
      <c r="T87" s="144">
        <v>2.7755575615628914E-17</v>
      </c>
      <c r="U87" s="144"/>
      <c r="V87" s="145">
        <v>1530136.5114000002</v>
      </c>
    </row>
    <row r="88" spans="1:22">
      <c r="A88" s="146" t="s">
        <v>154</v>
      </c>
      <c r="B88" s="147">
        <v>5734386</v>
      </c>
      <c r="C88" s="147">
        <v>52323</v>
      </c>
      <c r="D88" s="147">
        <v>16896287</v>
      </c>
      <c r="E88" s="147">
        <v>4268638</v>
      </c>
      <c r="F88" s="147">
        <v>17074552</v>
      </c>
      <c r="G88" s="147">
        <v>69786358</v>
      </c>
      <c r="H88" s="148">
        <v>1</v>
      </c>
      <c r="I88" s="148"/>
      <c r="J88" s="149"/>
      <c r="K88" s="149"/>
      <c r="L88" s="149"/>
      <c r="M88" s="149"/>
      <c r="N88" s="149"/>
      <c r="O88" s="149"/>
      <c r="P88" s="64"/>
      <c r="Q88" s="50"/>
      <c r="R88" s="150" t="s">
        <v>155</v>
      </c>
      <c r="S88" s="151">
        <v>0.29319635044324677</v>
      </c>
      <c r="T88" s="152"/>
      <c r="U88" s="50"/>
      <c r="V88" s="64"/>
    </row>
  </sheetData>
  <mergeCells count="5">
    <mergeCell ref="O9:P9"/>
    <mergeCell ref="O10:P10"/>
    <mergeCell ref="O11:P11"/>
    <mergeCell ref="B15:H15"/>
    <mergeCell ref="I15:U15"/>
  </mergeCells>
  <phoneticPr fontId="5" type="noConversion"/>
  <conditionalFormatting sqref="A24:A82">
    <cfRule type="duplicateValues" dxfId="4" priority="3"/>
  </conditionalFormatting>
  <conditionalFormatting sqref="T18:U22 T24:U83">
    <cfRule type="cellIs" dxfId="3" priority="4" operator="greaterThan">
      <formula>0</formula>
    </cfRule>
    <cfRule type="cellIs" dxfId="2" priority="5" operator="lessThan">
      <formula>0</formula>
    </cfRule>
  </conditionalFormatting>
  <conditionalFormatting sqref="U85:U8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Terms</vt:lpstr>
      <vt:lpstr>Captable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Hongkai He</dc:creator>
  <cp:lastModifiedBy>Hongkai He</cp:lastModifiedBy>
  <dcterms:created xsi:type="dcterms:W3CDTF">2015-06-05T18:17:20Z</dcterms:created>
  <dcterms:modified xsi:type="dcterms:W3CDTF">2023-11-01T04:13:56Z</dcterms:modified>
</cp:coreProperties>
</file>
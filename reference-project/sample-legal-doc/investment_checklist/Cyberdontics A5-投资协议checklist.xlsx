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f63280e117e20743/Taihill/三期基金/已投项目/Cyberdontics/Legal/"/>
    </mc:Choice>
  </mc:AlternateContent>
  <xr:revisionPtr revIDLastSave="484" documentId="11_F25DC773A252ABDACC104818F15A65465ADE58E9" xr6:coauthVersionLast="47" xr6:coauthVersionMax="47" xr10:uidLastSave="{8C791877-FE4F-485F-8FAA-846ABE2A2709}"/>
  <bookViews>
    <workbookView xWindow="-110" yWindow="-110" windowWidth="19420" windowHeight="11500" xr2:uid="{00000000-000D-0000-FFFF-FFFF00000000}"/>
  </bookViews>
  <sheets>
    <sheet name="Terms" sheetId="1" r:id="rId1"/>
    <sheet name="Investor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F8" i="1" l="1"/>
  <c r="B14" i="1"/>
  <c r="F3" i="1"/>
  <c r="F4" i="1"/>
  <c r="F7" i="1" s="1"/>
  <c r="B8" i="1" l="1"/>
  <c r="B6" i="1" s="1"/>
</calcChain>
</file>

<file path=xl/sharedStrings.xml><?xml version="1.0" encoding="utf-8"?>
<sst xmlns="http://schemas.openxmlformats.org/spreadsheetml/2006/main" count="120" uniqueCount="105">
  <si>
    <t>Company</t>
  </si>
  <si>
    <t xml:space="preserve"> Cyberdontics (USA), Inc., a Delaware corporation</t>
  </si>
  <si>
    <t>Taihill's Position</t>
  </si>
  <si>
    <t>Effective Date</t>
  </si>
  <si>
    <t>Holding Entity</t>
  </si>
  <si>
    <t>Taihill Venture Series III LP</t>
    <phoneticPr fontId="5" type="noConversion"/>
  </si>
  <si>
    <t>Class of Share</t>
  </si>
  <si>
    <t>Series A-5 Preferred Stock</t>
  </si>
  <si>
    <t>Capitalization (#share)</t>
  </si>
  <si>
    <t>Purchase price per share</t>
  </si>
  <si>
    <t>Price per share</t>
  </si>
  <si>
    <t>Position (#share)</t>
  </si>
  <si>
    <t>Pre-money val</t>
  </si>
  <si>
    <t>New money (#share)</t>
  </si>
  <si>
    <t>Position ($)</t>
  </si>
  <si>
    <t>New money ($)</t>
  </si>
  <si>
    <t>Fully diluted ownership</t>
  </si>
  <si>
    <t>Post-money val</t>
  </si>
  <si>
    <t>Co-investors</t>
  </si>
  <si>
    <t>see captable</t>
  </si>
  <si>
    <t>Major Investor cutoff (#share)</t>
  </si>
  <si>
    <t>Registrable Securities</t>
  </si>
  <si>
    <t>Setting</t>
  </si>
  <si>
    <t>Applied to Taihill?</t>
  </si>
  <si>
    <t>Major Investor cutoff ($)</t>
  </si>
  <si>
    <t>CFIUS Foreign Person Status</t>
  </si>
  <si>
    <t>NOT a "foreign person"</t>
  </si>
  <si>
    <t>Yes</t>
  </si>
  <si>
    <t>Founders/Key Employee</t>
    <phoneticPr fontId="5" type="noConversion"/>
  </si>
  <si>
    <t>Christopher Ciriello, Phil Getto</t>
  </si>
  <si>
    <t>Foreign Person limitation</t>
  </si>
  <si>
    <t>will not provide DPA Triggering Rights</t>
  </si>
  <si>
    <t>NA</t>
    <phoneticPr fontId="5" type="noConversion"/>
  </si>
  <si>
    <t>Market Stand-off</t>
  </si>
  <si>
    <t>180 days after IPO</t>
  </si>
  <si>
    <t>Board Composition</t>
  </si>
  <si>
    <t>5+1</t>
  </si>
  <si>
    <t>Information Rights</t>
  </si>
  <si>
    <t>Primavera - Veronica Li</t>
  </si>
  <si>
    <t>A-5 Preferred</t>
  </si>
  <si>
    <t>Financial</t>
  </si>
  <si>
    <t>Major Investor</t>
  </si>
  <si>
    <t>No</t>
  </si>
  <si>
    <t>Innospark Ventures - Deepak Verma</t>
  </si>
  <si>
    <t>A-1 Preferred</t>
  </si>
  <si>
    <t>Inspection</t>
  </si>
  <si>
    <t>KdT Ventures - Phil Grayeski</t>
  </si>
  <si>
    <t>CEO - Christopher Ciriello</t>
  </si>
  <si>
    <t>CEO</t>
  </si>
  <si>
    <t>Right of First Offer</t>
  </si>
  <si>
    <t>Co-founder - Phil Getto</t>
  </si>
  <si>
    <t>Common</t>
  </si>
  <si>
    <t>Right of First Refusal</t>
  </si>
  <si>
    <t>No</t>
    <phoneticPr fontId="5" type="noConversion"/>
  </si>
  <si>
    <t>TBD</t>
  </si>
  <si>
    <t>Independent</t>
  </si>
  <si>
    <t>Secondary Refusal</t>
    <phoneticPr fontId="5" type="noConversion"/>
  </si>
  <si>
    <t>All Investor</t>
  </si>
  <si>
    <t>Co-sale</t>
  </si>
  <si>
    <t>Drag-Along</t>
  </si>
  <si>
    <t>&gt;50% outstanding share</t>
  </si>
  <si>
    <t>Board</t>
    <phoneticPr fontId="5" type="noConversion"/>
  </si>
  <si>
    <t>Employee Vesting</t>
  </si>
  <si>
    <t>4yr, first yr cliff 25%</t>
  </si>
  <si>
    <t>Pre-Money Valuation</t>
  </si>
  <si>
    <t>New Price Per Share</t>
  </si>
  <si>
    <t>POOL TO INCREASE: Cyberdontics (USA), Inc. 2020 Stock Plan</t>
  </si>
  <si>
    <t>New Money</t>
  </si>
  <si>
    <t>Pre-Money Option Pool Available %</t>
  </si>
  <si>
    <t>New Money Investors</t>
  </si>
  <si>
    <t>Primavera Venture Partners</t>
  </si>
  <si>
    <t>Pre-Money Option Pool Available</t>
  </si>
  <si>
    <t>Modi Venture Partners</t>
  </si>
  <si>
    <t>Deepak Verma</t>
  </si>
  <si>
    <t>Phil Getto</t>
  </si>
  <si>
    <t>Colin Mullett</t>
  </si>
  <si>
    <t>Richard M. Fates</t>
  </si>
  <si>
    <t>Mark Legare</t>
  </si>
  <si>
    <t>Ciriello Holdings Inc.</t>
  </si>
  <si>
    <t>Existing Investors</t>
  </si>
  <si>
    <t>Cambridge Dental Technology Innovations, LLC</t>
  </si>
  <si>
    <t>Innospark Ventures LLC</t>
  </si>
  <si>
    <t>KdT Ventures Fund III, LP</t>
  </si>
  <si>
    <t>TSVC Fund V LP</t>
  </si>
  <si>
    <t>StarFish Holdings Inc.</t>
  </si>
  <si>
    <t>CY-0504 Fund IV, a series of AX-RN-Funds, LP [Asymmetry Ventures]</t>
  </si>
  <si>
    <t>Kyto Life Sciences</t>
  </si>
  <si>
    <t>Maria Rossetti</t>
  </si>
  <si>
    <t>Chiu Chau</t>
  </si>
  <si>
    <t>Brant Corenson</t>
  </si>
  <si>
    <t>Pre-Money Option Pool Change</t>
  </si>
  <si>
    <t>Subsequent Closings</t>
  </si>
  <si>
    <t>Target Post-Money Option Pool %</t>
  </si>
  <si>
    <t>Ben McCann</t>
  </si>
  <si>
    <t>Revere Partners RF, LP – A4</t>
  </si>
  <si>
    <t>Eric Urhane</t>
  </si>
  <si>
    <t>Full Spectrum</t>
  </si>
  <si>
    <t>Justin Hamilton</t>
  </si>
  <si>
    <t>TaiHill Ventures</t>
  </si>
  <si>
    <t>Plaisance Capital</t>
  </si>
  <si>
    <t>Said Mazahreh</t>
  </si>
  <si>
    <t>Plaisance Capital [Option]</t>
  </si>
  <si>
    <t>Unallocated Round</t>
  </si>
  <si>
    <t>Post-Money Option Pool Available</t>
  </si>
  <si>
    <t>Post-Money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</si>
</sst>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64" formatCode="_ * #,##0.00_ ;_ * \-#,##0.00_ ;_ * &quot;-&quot;??_ ;_ @_ "/>
    <numFmt numFmtId="165" formatCode="[$$-409]#,##0.0000"/>
    <numFmt numFmtId="166" formatCode="_ * #,##0_ ;_ * \-#,##0_ ;_ * &quot;-&quot;??_ ;_ @_ "/>
    <numFmt numFmtId="167" formatCode="[$$-409]#,##0"/>
    <numFmt numFmtId="168" formatCode="0.0000%"/>
    <numFmt numFmtId="169" formatCode="[$$-409]#,##0.00"/>
    <numFmt numFmtId="170" formatCode="\$#,##0.00"/>
    <numFmt numFmtId="171" formatCode="\$#,##0"/>
    <numFmt numFmtId="172" formatCode="\$#,##0.0000"/>
    <numFmt numFmtId="173" formatCode="0.000%"/>
    <numFmt numFmtId="174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indexed="64"/>
      </bottom>
      <diagonal/>
    </border>
    <border>
      <left/>
      <right style="thick">
        <color rgb="FF000000"/>
      </right>
      <top style="thick">
        <color rgb="FF000000"/>
      </top>
      <bottom style="thin">
        <color indexed="64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4" fillId="0" borderId="0" xfId="0" applyFont="1"/>
    <xf numFmtId="0" fontId="4" fillId="0" borderId="9" xfId="0" applyFont="1" applyBorder="1"/>
    <xf numFmtId="165" fontId="4" fillId="0" borderId="0" xfId="0" applyNumberFormat="1" applyFont="1"/>
    <xf numFmtId="167" fontId="4" fillId="0" borderId="0" xfId="0" applyNumberFormat="1" applyFont="1"/>
    <xf numFmtId="168" fontId="4" fillId="0" borderId="0" xfId="2" applyNumberFormat="1" applyFont="1" applyBorder="1"/>
    <xf numFmtId="0" fontId="0" fillId="0" borderId="9" xfId="0" applyBorder="1"/>
    <xf numFmtId="166" fontId="4" fillId="0" borderId="0" xfId="1" applyNumberFormat="1" applyFont="1" applyBorder="1"/>
    <xf numFmtId="14" fontId="4" fillId="0" borderId="0" xfId="0" applyNumberFormat="1" applyFont="1"/>
    <xf numFmtId="0" fontId="2" fillId="0" borderId="9" xfId="3" applyBorder="1"/>
    <xf numFmtId="169" fontId="0" fillId="0" borderId="0" xfId="0" applyNumberFormat="1"/>
    <xf numFmtId="0" fontId="4" fillId="0" borderId="0" xfId="0" applyFont="1" applyAlignment="1">
      <alignment wrapText="1"/>
    </xf>
    <xf numFmtId="10" fontId="4" fillId="0" borderId="0" xfId="0" applyNumberFormat="1" applyFont="1"/>
    <xf numFmtId="0" fontId="3" fillId="0" borderId="1" xfId="0" applyFont="1" applyBorder="1"/>
    <xf numFmtId="0" fontId="0" fillId="0" borderId="10" xfId="0" applyBorder="1"/>
    <xf numFmtId="0" fontId="0" fillId="0" borderId="11" xfId="0" applyBorder="1"/>
    <xf numFmtId="0" fontId="4" fillId="0" borderId="6" xfId="0" applyFont="1" applyBorder="1"/>
    <xf numFmtId="0" fontId="4" fillId="0" borderId="2" xfId="0" applyFont="1" applyBorder="1" applyAlignment="1">
      <alignment wrapText="1"/>
    </xf>
    <xf numFmtId="0" fontId="0" fillId="0" borderId="1" xfId="0" applyBorder="1"/>
    <xf numFmtId="3" fontId="4" fillId="0" borderId="14" xfId="0" applyNumberFormat="1" applyFont="1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4" fillId="0" borderId="3" xfId="0" applyFont="1" applyBorder="1"/>
    <xf numFmtId="0" fontId="4" fillId="2" borderId="0" xfId="0" applyFont="1" applyFill="1"/>
    <xf numFmtId="167" fontId="4" fillId="2" borderId="12" xfId="0" applyNumberFormat="1" applyFont="1" applyFill="1" applyBorder="1"/>
    <xf numFmtId="0" fontId="0" fillId="4" borderId="15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3"/>
    </xf>
    <xf numFmtId="0" fontId="0" fillId="3" borderId="17" xfId="0" applyFill="1" applyBorder="1" applyAlignment="1">
      <alignment horizontal="left" vertical="center" wrapText="1" indent="3"/>
    </xf>
    <xf numFmtId="4" fontId="0" fillId="3" borderId="17" xfId="0" applyNumberFormat="1" applyFill="1" applyBorder="1" applyAlignment="1">
      <alignment horizontal="left" vertical="center" wrapText="1" indent="3"/>
    </xf>
    <xf numFmtId="0" fontId="0" fillId="3" borderId="18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170" fontId="0" fillId="2" borderId="20" xfId="0" applyNumberFormat="1" applyFill="1" applyBorder="1" applyAlignment="1">
      <alignment horizontal="right" vertical="center"/>
    </xf>
    <xf numFmtId="170" fontId="0" fillId="4" borderId="21" xfId="0" applyNumberFormat="1" applyFill="1" applyBorder="1" applyAlignment="1">
      <alignment horizontal="right" vertical="center"/>
    </xf>
    <xf numFmtId="170" fontId="0" fillId="4" borderId="0" xfId="0" applyNumberFormat="1" applyFill="1" applyAlignment="1">
      <alignment horizontal="right" vertical="center"/>
    </xf>
    <xf numFmtId="171" fontId="0" fillId="4" borderId="0" xfId="0" applyNumberFormat="1" applyFill="1" applyAlignment="1">
      <alignment horizontal="right" vertical="center"/>
    </xf>
    <xf numFmtId="171" fontId="3" fillId="4" borderId="0" xfId="0" applyNumberFormat="1" applyFont="1" applyFill="1" applyAlignment="1">
      <alignment horizontal="right" vertical="center"/>
    </xf>
    <xf numFmtId="171" fontId="0" fillId="4" borderId="22" xfId="0" applyNumberFormat="1" applyFill="1" applyBorder="1" applyAlignment="1">
      <alignment horizontal="right" vertical="center"/>
    </xf>
    <xf numFmtId="171" fontId="0" fillId="3" borderId="0" xfId="0" applyNumberFormat="1" applyFill="1" applyAlignment="1">
      <alignment horizontal="right" vertical="center"/>
    </xf>
    <xf numFmtId="170" fontId="0" fillId="3" borderId="0" xfId="0" applyNumberFormat="1" applyFill="1" applyAlignment="1">
      <alignment horizontal="right" vertical="center"/>
    </xf>
    <xf numFmtId="170" fontId="7" fillId="3" borderId="0" xfId="0" applyNumberFormat="1" applyFont="1" applyFill="1" applyAlignment="1">
      <alignment horizontal="right" vertical="center"/>
    </xf>
    <xf numFmtId="170" fontId="0" fillId="3" borderId="23" xfId="0" applyNumberFormat="1" applyFill="1" applyBorder="1" applyAlignment="1">
      <alignment horizontal="right" vertical="center"/>
    </xf>
    <xf numFmtId="0" fontId="0" fillId="3" borderId="20" xfId="0" applyFill="1" applyBorder="1"/>
    <xf numFmtId="0" fontId="0" fillId="3" borderId="0" xfId="0" applyFill="1"/>
    <xf numFmtId="0" fontId="0" fillId="3" borderId="23" xfId="0" applyFill="1" applyBorder="1"/>
    <xf numFmtId="172" fontId="8" fillId="5" borderId="24" xfId="0" applyNumberFormat="1" applyFont="1" applyFill="1" applyBorder="1" applyAlignment="1">
      <alignment horizontal="left" vertical="center"/>
    </xf>
    <xf numFmtId="0" fontId="7" fillId="3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173" fontId="9" fillId="5" borderId="25" xfId="2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right"/>
    </xf>
    <xf numFmtId="0" fontId="8" fillId="3" borderId="26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41" fontId="0" fillId="3" borderId="23" xfId="0" applyNumberFormat="1" applyFill="1" applyBorder="1" applyAlignment="1">
      <alignment horizontal="left" vertical="center"/>
    </xf>
    <xf numFmtId="0" fontId="8" fillId="3" borderId="26" xfId="0" applyFont="1" applyFill="1" applyBorder="1"/>
    <xf numFmtId="0" fontId="0" fillId="3" borderId="21" xfId="0" applyFill="1" applyBorder="1"/>
    <xf numFmtId="0" fontId="3" fillId="3" borderId="0" xfId="0" applyFont="1" applyFill="1" applyAlignment="1">
      <alignment horizontal="right"/>
    </xf>
    <xf numFmtId="0" fontId="0" fillId="3" borderId="26" xfId="0" applyFill="1" applyBorder="1"/>
    <xf numFmtId="0" fontId="0" fillId="3" borderId="27" xfId="0" applyFill="1" applyBorder="1"/>
    <xf numFmtId="10" fontId="0" fillId="3" borderId="28" xfId="0" applyNumberFormat="1" applyFill="1" applyBorder="1" applyAlignment="1">
      <alignment horizontal="right" vertical="center"/>
    </xf>
    <xf numFmtId="3" fontId="0" fillId="3" borderId="28" xfId="0" applyNumberFormat="1" applyFill="1" applyBorder="1" applyAlignment="1">
      <alignment horizontal="right" vertical="center"/>
    </xf>
    <xf numFmtId="3" fontId="0" fillId="3" borderId="29" xfId="0" applyNumberFormat="1" applyFill="1" applyBorder="1" applyAlignment="1">
      <alignment horizontal="right" vertical="center"/>
    </xf>
    <xf numFmtId="174" fontId="0" fillId="2" borderId="28" xfId="2" applyNumberFormat="1" applyFont="1" applyFill="1" applyBorder="1" applyAlignment="1">
      <alignment horizontal="right" vertical="center"/>
    </xf>
    <xf numFmtId="174" fontId="0" fillId="4" borderId="28" xfId="2" applyNumberFormat="1" applyFont="1" applyFill="1" applyBorder="1" applyAlignment="1">
      <alignment horizontal="right" vertical="center"/>
    </xf>
    <xf numFmtId="0" fontId="0" fillId="3" borderId="28" xfId="0" applyFill="1" applyBorder="1"/>
    <xf numFmtId="0" fontId="0" fillId="3" borderId="30" xfId="0" applyFill="1" applyBorder="1"/>
    <xf numFmtId="169" fontId="4" fillId="2" borderId="0" xfId="0" applyNumberFormat="1" applyFont="1" applyFill="1"/>
    <xf numFmtId="4" fontId="8" fillId="3" borderId="24" xfId="0" applyNumberFormat="1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B16" sqref="B16"/>
    </sheetView>
  </sheetViews>
  <sheetFormatPr defaultRowHeight="14.45"/>
  <cols>
    <col min="1" max="1" width="24.7109375" customWidth="1"/>
    <col min="2" max="2" width="28.5703125" customWidth="1"/>
    <col min="3" max="3" width="20.7109375" customWidth="1"/>
    <col min="5" max="5" width="26.85546875" customWidth="1"/>
    <col min="6" max="6" width="35.140625" customWidth="1"/>
    <col min="10" max="10" width="12.85546875" bestFit="1" customWidth="1"/>
  </cols>
  <sheetData>
    <row r="1" spans="1:10" ht="29.1">
      <c r="A1" s="2" t="s">
        <v>0</v>
      </c>
      <c r="B1" s="25" t="s">
        <v>1</v>
      </c>
      <c r="C1" s="5"/>
      <c r="E1" s="2" t="s">
        <v>2</v>
      </c>
      <c r="F1" s="8"/>
      <c r="G1" s="8"/>
      <c r="H1" s="5"/>
    </row>
    <row r="2" spans="1:10">
      <c r="A2" s="3" t="s">
        <v>3</v>
      </c>
      <c r="B2" s="16">
        <v>45090</v>
      </c>
      <c r="C2" s="6"/>
      <c r="E2" s="3" t="s">
        <v>4</v>
      </c>
      <c r="F2" s="9" t="s">
        <v>5</v>
      </c>
      <c r="H2" s="6"/>
    </row>
    <row r="3" spans="1:10">
      <c r="A3" s="3" t="s">
        <v>6</v>
      </c>
      <c r="B3" s="9" t="s">
        <v>7</v>
      </c>
      <c r="C3" s="6"/>
      <c r="E3" s="3" t="s">
        <v>6</v>
      </c>
      <c r="F3" s="9" t="str">
        <f>B3</f>
        <v>Series A-5 Preferred Stock</v>
      </c>
      <c r="H3" s="6"/>
    </row>
    <row r="4" spans="1:10">
      <c r="A4" s="3" t="s">
        <v>8</v>
      </c>
      <c r="B4" s="15">
        <v>71022745</v>
      </c>
      <c r="C4" s="6"/>
      <c r="E4" s="3" t="s">
        <v>9</v>
      </c>
      <c r="F4" s="11">
        <f>B5</f>
        <v>0.68989999999999996</v>
      </c>
      <c r="H4" s="6"/>
    </row>
    <row r="5" spans="1:10">
      <c r="A5" s="3" t="s">
        <v>10</v>
      </c>
      <c r="B5" s="11">
        <v>0.68989999999999996</v>
      </c>
      <c r="C5" s="6"/>
      <c r="E5" s="3" t="s">
        <v>11</v>
      </c>
      <c r="F5" s="15">
        <v>434845</v>
      </c>
      <c r="H5" s="6"/>
    </row>
    <row r="6" spans="1:10">
      <c r="A6" s="3" t="s">
        <v>12</v>
      </c>
      <c r="B6" s="12">
        <f>B9-B8</f>
        <v>37998597.128700003</v>
      </c>
      <c r="C6" s="6"/>
      <c r="E6" s="3"/>
      <c r="F6" s="15"/>
      <c r="H6" s="6"/>
    </row>
    <row r="7" spans="1:10">
      <c r="A7" s="3" t="s">
        <v>13</v>
      </c>
      <c r="B7" s="15">
        <v>15944332</v>
      </c>
      <c r="C7" s="6"/>
      <c r="E7" s="3" t="s">
        <v>14</v>
      </c>
      <c r="F7" s="79">
        <f>F5*F4</f>
        <v>299999.56549999997</v>
      </c>
      <c r="H7" s="6"/>
    </row>
    <row r="8" spans="1:10">
      <c r="A8" s="3" t="s">
        <v>15</v>
      </c>
      <c r="B8" s="12">
        <f>B5*B7</f>
        <v>10999994.6468</v>
      </c>
      <c r="C8" s="6"/>
      <c r="E8" s="3" t="s">
        <v>16</v>
      </c>
      <c r="F8" s="13">
        <f>F5/B4</f>
        <v>6.1226160717950283E-3</v>
      </c>
      <c r="H8" s="6"/>
    </row>
    <row r="9" spans="1:10">
      <c r="A9" s="3" t="s">
        <v>17</v>
      </c>
      <c r="B9" s="12">
        <f>B5*B4</f>
        <v>48998591.7755</v>
      </c>
      <c r="C9" s="6"/>
      <c r="E9" s="3"/>
      <c r="H9" s="6"/>
      <c r="J9" s="18"/>
    </row>
    <row r="10" spans="1:10" ht="15" thickBot="1">
      <c r="A10" s="4" t="s">
        <v>18</v>
      </c>
      <c r="B10" s="17" t="s">
        <v>19</v>
      </c>
      <c r="C10" s="7"/>
      <c r="E10" s="4"/>
      <c r="F10" s="14"/>
      <c r="G10" s="14"/>
      <c r="H10" s="7"/>
    </row>
    <row r="11" spans="1:10">
      <c r="H11" s="1"/>
    </row>
    <row r="12" spans="1:10" ht="15" thickBot="1"/>
    <row r="13" spans="1:10">
      <c r="A13" s="26" t="s">
        <v>20</v>
      </c>
      <c r="B13" s="27">
        <v>4348456</v>
      </c>
      <c r="C13" s="31" t="s">
        <v>21</v>
      </c>
      <c r="E13" s="21"/>
      <c r="F13" s="8" t="s">
        <v>22</v>
      </c>
      <c r="G13" s="8" t="s">
        <v>23</v>
      </c>
      <c r="H13" s="5"/>
    </row>
    <row r="14" spans="1:10">
      <c r="A14" s="22" t="s">
        <v>24</v>
      </c>
      <c r="B14" s="33">
        <f>B13*B5</f>
        <v>2999999.7944</v>
      </c>
      <c r="C14" s="6"/>
      <c r="E14" s="22" t="s">
        <v>25</v>
      </c>
      <c r="F14" s="9" t="s">
        <v>26</v>
      </c>
      <c r="G14" s="9" t="s">
        <v>27</v>
      </c>
      <c r="H14" s="6"/>
    </row>
    <row r="15" spans="1:10">
      <c r="A15" s="22" t="s">
        <v>28</v>
      </c>
      <c r="B15" s="28" t="s">
        <v>29</v>
      </c>
      <c r="C15" s="6"/>
      <c r="E15" s="22" t="s">
        <v>30</v>
      </c>
      <c r="F15" s="20" t="s">
        <v>31</v>
      </c>
      <c r="G15" s="9" t="s">
        <v>32</v>
      </c>
      <c r="H15" s="6"/>
    </row>
    <row r="16" spans="1:10">
      <c r="A16" s="22"/>
      <c r="B16" s="29"/>
      <c r="C16" s="6"/>
      <c r="E16" s="22" t="s">
        <v>33</v>
      </c>
      <c r="F16" s="9" t="s">
        <v>34</v>
      </c>
      <c r="G16" s="9" t="s">
        <v>27</v>
      </c>
      <c r="H16" s="6"/>
    </row>
    <row r="17" spans="1:8">
      <c r="A17" s="22" t="s">
        <v>35</v>
      </c>
      <c r="B17" s="28" t="s">
        <v>36</v>
      </c>
      <c r="C17" s="6"/>
      <c r="E17" s="22" t="s">
        <v>37</v>
      </c>
      <c r="F17" s="9"/>
      <c r="G17" s="9"/>
      <c r="H17" s="6"/>
    </row>
    <row r="18" spans="1:8">
      <c r="A18" s="22"/>
      <c r="B18" s="28" t="s">
        <v>38</v>
      </c>
      <c r="C18" s="24" t="s">
        <v>39</v>
      </c>
      <c r="E18" s="22" t="s">
        <v>40</v>
      </c>
      <c r="F18" s="9" t="s">
        <v>41</v>
      </c>
      <c r="G18" s="32" t="s">
        <v>42</v>
      </c>
      <c r="H18" s="6"/>
    </row>
    <row r="19" spans="1:8">
      <c r="A19" s="22"/>
      <c r="B19" s="28" t="s">
        <v>43</v>
      </c>
      <c r="C19" s="24" t="s">
        <v>44</v>
      </c>
      <c r="E19" s="22" t="s">
        <v>45</v>
      </c>
      <c r="F19" s="9" t="s">
        <v>41</v>
      </c>
      <c r="G19" s="32" t="s">
        <v>42</v>
      </c>
      <c r="H19" s="6"/>
    </row>
    <row r="20" spans="1:8">
      <c r="A20" s="22"/>
      <c r="B20" s="28" t="s">
        <v>46</v>
      </c>
      <c r="C20" s="24" t="s">
        <v>44</v>
      </c>
      <c r="E20" s="22"/>
      <c r="F20" s="9"/>
      <c r="G20" s="32"/>
      <c r="H20" s="6"/>
    </row>
    <row r="21" spans="1:8">
      <c r="A21" s="22"/>
      <c r="B21" s="28" t="s">
        <v>47</v>
      </c>
      <c r="C21" s="24" t="s">
        <v>48</v>
      </c>
      <c r="E21" s="22" t="s">
        <v>49</v>
      </c>
      <c r="F21" s="9" t="s">
        <v>41</v>
      </c>
      <c r="G21" s="32" t="s">
        <v>42</v>
      </c>
      <c r="H21" s="6"/>
    </row>
    <row r="22" spans="1:8">
      <c r="A22" s="22"/>
      <c r="B22" s="28" t="s">
        <v>50</v>
      </c>
      <c r="C22" s="24" t="s">
        <v>51</v>
      </c>
      <c r="E22" s="22" t="s">
        <v>52</v>
      </c>
      <c r="F22" s="19" t="s">
        <v>0</v>
      </c>
      <c r="G22" s="32" t="s">
        <v>53</v>
      </c>
      <c r="H22" s="6"/>
    </row>
    <row r="23" spans="1:8">
      <c r="A23" s="22"/>
      <c r="B23" s="28" t="s">
        <v>54</v>
      </c>
      <c r="C23" s="24" t="s">
        <v>55</v>
      </c>
      <c r="E23" s="22" t="s">
        <v>56</v>
      </c>
      <c r="F23" s="9" t="s">
        <v>57</v>
      </c>
      <c r="G23" s="9" t="s">
        <v>27</v>
      </c>
      <c r="H23" s="6"/>
    </row>
    <row r="24" spans="1:8">
      <c r="A24" s="22"/>
      <c r="B24" s="29"/>
      <c r="C24" s="6"/>
      <c r="E24" s="22" t="s">
        <v>58</v>
      </c>
      <c r="F24" s="19" t="s">
        <v>57</v>
      </c>
      <c r="G24" s="9" t="s">
        <v>27</v>
      </c>
      <c r="H24" s="6"/>
    </row>
    <row r="25" spans="1:8">
      <c r="A25" s="22" t="s">
        <v>59</v>
      </c>
      <c r="B25" s="28" t="s">
        <v>60</v>
      </c>
      <c r="C25" s="6"/>
      <c r="E25" s="22"/>
      <c r="F25" s="9"/>
      <c r="G25" s="9"/>
      <c r="H25" s="6"/>
    </row>
    <row r="26" spans="1:8">
      <c r="A26" s="22"/>
      <c r="B26" s="29"/>
      <c r="C26" s="6"/>
      <c r="E26" s="22" t="s">
        <v>61</v>
      </c>
      <c r="F26" s="9"/>
      <c r="G26" s="9" t="s">
        <v>53</v>
      </c>
      <c r="H26" s="6"/>
    </row>
    <row r="27" spans="1:8">
      <c r="A27" s="22"/>
      <c r="B27" s="29"/>
      <c r="C27" s="6"/>
      <c r="E27" s="22"/>
      <c r="H27" s="6"/>
    </row>
    <row r="28" spans="1:8" ht="15" thickBot="1">
      <c r="A28" s="23"/>
      <c r="B28" s="30"/>
      <c r="C28" s="7"/>
      <c r="E28" s="23" t="s">
        <v>62</v>
      </c>
      <c r="F28" s="10" t="s">
        <v>63</v>
      </c>
      <c r="G28" s="10" t="s">
        <v>42</v>
      </c>
      <c r="H28" s="7"/>
    </row>
  </sheetData>
  <phoneticPr fontId="5" type="noConversion"/>
  <hyperlinks>
    <hyperlink ref="B10" location="captable!A1" display="see captable" xr:uid="{C16950ED-4218-4EC8-8D12-6CCFD7F51647}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2D5A-447B-432C-B84C-099319127404}">
  <dimension ref="A1:J40"/>
  <sheetViews>
    <sheetView workbookViewId="0">
      <selection activeCell="J23" sqref="J23"/>
    </sheetView>
  </sheetViews>
  <sheetFormatPr defaultRowHeight="14.45"/>
  <cols>
    <col min="1" max="1" width="33.7109375" customWidth="1"/>
    <col min="2" max="2" width="25.28515625" customWidth="1"/>
    <col min="3" max="3" width="6" style="18" customWidth="1"/>
    <col min="4" max="4" width="25.28515625" customWidth="1"/>
    <col min="5" max="5" width="3.140625" customWidth="1"/>
    <col min="6" max="6" width="2.42578125" customWidth="1"/>
    <col min="7" max="7" width="25.28515625" customWidth="1"/>
  </cols>
  <sheetData>
    <row r="1" spans="1:10" ht="31.5" customHeight="1" thickTop="1" thickBot="1">
      <c r="A1" s="34" t="s">
        <v>64</v>
      </c>
      <c r="B1" s="43">
        <v>38000000</v>
      </c>
      <c r="C1" s="53"/>
      <c r="D1" s="80" t="s">
        <v>65</v>
      </c>
      <c r="E1" s="81"/>
      <c r="F1" s="53"/>
      <c r="G1" s="62" t="s">
        <v>66</v>
      </c>
      <c r="H1" s="67"/>
      <c r="I1" s="70"/>
      <c r="J1" s="71"/>
    </row>
    <row r="2" spans="1:10" ht="16.5" thickTop="1" thickBot="1">
      <c r="A2" s="35" t="s">
        <v>67</v>
      </c>
      <c r="B2" s="44">
        <v>11000000</v>
      </c>
      <c r="C2" s="54"/>
      <c r="D2" s="56">
        <v>0.68989999999999996</v>
      </c>
      <c r="E2" s="60"/>
      <c r="F2" s="54"/>
      <c r="G2" s="63" t="s">
        <v>68</v>
      </c>
      <c r="H2" s="54"/>
      <c r="I2" s="54"/>
      <c r="J2" s="72">
        <v>5.3324329041160898E-2</v>
      </c>
    </row>
    <row r="3" spans="1:10" ht="15" thickTop="1">
      <c r="A3" s="36" t="s">
        <v>69</v>
      </c>
      <c r="B3" s="45"/>
      <c r="C3" s="54"/>
      <c r="D3" s="57"/>
      <c r="E3" s="57"/>
      <c r="F3" s="54"/>
      <c r="G3" s="63"/>
      <c r="H3" s="54"/>
      <c r="I3" s="54"/>
      <c r="J3" s="72"/>
    </row>
    <row r="4" spans="1:10">
      <c r="A4" s="37" t="s">
        <v>70</v>
      </c>
      <c r="B4" s="46">
        <v>3000000</v>
      </c>
      <c r="C4" s="54"/>
      <c r="D4" s="54"/>
      <c r="E4" s="54"/>
      <c r="F4" s="54"/>
      <c r="G4" s="63" t="s">
        <v>71</v>
      </c>
      <c r="H4" s="54"/>
      <c r="I4" s="54"/>
      <c r="J4" s="73">
        <v>2688476</v>
      </c>
    </row>
    <row r="5" spans="1:10">
      <c r="A5" s="37" t="s">
        <v>72</v>
      </c>
      <c r="B5" s="46">
        <v>275000</v>
      </c>
      <c r="C5" s="54"/>
      <c r="D5" s="54"/>
      <c r="E5" s="54"/>
      <c r="F5" s="54"/>
      <c r="G5" s="63"/>
      <c r="H5" s="54"/>
      <c r="I5" s="54"/>
      <c r="J5" s="73"/>
    </row>
    <row r="6" spans="1:10">
      <c r="A6" s="37" t="s">
        <v>73</v>
      </c>
      <c r="B6" s="46">
        <v>100000</v>
      </c>
      <c r="C6" s="54"/>
      <c r="D6" s="54"/>
      <c r="E6" s="54"/>
      <c r="F6" s="54"/>
      <c r="G6" s="63"/>
      <c r="H6" s="54"/>
      <c r="I6" s="54"/>
      <c r="J6" s="73"/>
    </row>
    <row r="7" spans="1:10">
      <c r="A7" s="37" t="s">
        <v>74</v>
      </c>
      <c r="B7" s="46">
        <v>59000</v>
      </c>
      <c r="C7" s="54"/>
      <c r="D7" s="54"/>
      <c r="E7" s="54"/>
      <c r="F7" s="54"/>
      <c r="G7" s="63"/>
      <c r="H7" s="54"/>
      <c r="I7" s="54"/>
      <c r="J7" s="73"/>
    </row>
    <row r="8" spans="1:10">
      <c r="A8" s="37" t="s">
        <v>75</v>
      </c>
      <c r="B8" s="46">
        <v>50000</v>
      </c>
      <c r="C8" s="54"/>
      <c r="D8" s="54"/>
      <c r="E8" s="54"/>
      <c r="F8" s="54"/>
      <c r="G8" s="63"/>
      <c r="H8" s="54"/>
      <c r="I8" s="54"/>
      <c r="J8" s="73"/>
    </row>
    <row r="9" spans="1:10">
      <c r="A9" s="37" t="s">
        <v>76</v>
      </c>
      <c r="B9" s="46">
        <v>25000</v>
      </c>
      <c r="C9" s="54"/>
      <c r="D9" s="54"/>
      <c r="E9" s="54"/>
      <c r="F9" s="54"/>
      <c r="G9" s="63"/>
      <c r="H9" s="54"/>
      <c r="I9" s="54"/>
      <c r="J9" s="73"/>
    </row>
    <row r="10" spans="1:10">
      <c r="A10" s="37" t="s">
        <v>77</v>
      </c>
      <c r="B10" s="46">
        <v>7000</v>
      </c>
      <c r="C10" s="54"/>
      <c r="D10" s="54"/>
      <c r="E10" s="54"/>
      <c r="F10" s="54"/>
      <c r="G10" s="63"/>
      <c r="H10" s="54"/>
      <c r="I10" s="54"/>
      <c r="J10" s="73"/>
    </row>
    <row r="11" spans="1:10">
      <c r="A11" s="38" t="s">
        <v>78</v>
      </c>
      <c r="B11" s="46">
        <v>150000</v>
      </c>
      <c r="C11" s="54"/>
      <c r="D11" s="54"/>
      <c r="E11" s="54"/>
      <c r="F11" s="54"/>
      <c r="G11" s="63"/>
      <c r="H11" s="54"/>
      <c r="I11" s="54"/>
      <c r="J11" s="73"/>
    </row>
    <row r="12" spans="1:10">
      <c r="A12" s="36" t="s">
        <v>79</v>
      </c>
      <c r="B12" s="46"/>
      <c r="C12" s="54"/>
      <c r="D12" s="54"/>
      <c r="E12" s="54"/>
      <c r="F12" s="54"/>
      <c r="G12" s="63"/>
      <c r="H12" s="54"/>
      <c r="I12" s="54"/>
      <c r="J12" s="73"/>
    </row>
    <row r="13" spans="1:10" ht="29.1">
      <c r="A13" s="38" t="s">
        <v>80</v>
      </c>
      <c r="B13" s="46">
        <v>500000</v>
      </c>
      <c r="C13" s="54"/>
      <c r="D13" s="54"/>
      <c r="E13" s="54"/>
      <c r="F13" s="54"/>
      <c r="G13" s="63"/>
      <c r="H13" s="54"/>
      <c r="I13" s="54"/>
      <c r="J13" s="73"/>
    </row>
    <row r="14" spans="1:10">
      <c r="A14" s="38" t="s">
        <v>81</v>
      </c>
      <c r="B14" s="46">
        <v>300000</v>
      </c>
      <c r="C14" s="54"/>
      <c r="D14" s="54"/>
      <c r="E14" s="54"/>
      <c r="F14" s="54"/>
      <c r="G14" s="63"/>
      <c r="H14" s="54"/>
      <c r="I14" s="54"/>
      <c r="J14" s="73"/>
    </row>
    <row r="15" spans="1:10">
      <c r="A15" s="38" t="s">
        <v>82</v>
      </c>
      <c r="B15" s="46">
        <v>1000000</v>
      </c>
      <c r="C15" s="54"/>
      <c r="D15" s="54"/>
      <c r="E15" s="54"/>
      <c r="F15" s="54"/>
      <c r="G15" s="63"/>
      <c r="H15" s="54"/>
      <c r="I15" s="54"/>
      <c r="J15" s="73"/>
    </row>
    <row r="16" spans="1:10">
      <c r="A16" s="38" t="s">
        <v>83</v>
      </c>
      <c r="B16" s="46">
        <v>200000</v>
      </c>
      <c r="C16" s="54"/>
      <c r="D16" s="54"/>
      <c r="E16" s="54"/>
      <c r="F16" s="54"/>
      <c r="G16" s="63"/>
      <c r="H16" s="54"/>
      <c r="I16" s="54"/>
      <c r="J16" s="73"/>
    </row>
    <row r="17" spans="1:10">
      <c r="A17" s="38" t="s">
        <v>84</v>
      </c>
      <c r="B17" s="46">
        <v>100000</v>
      </c>
      <c r="C17" s="54"/>
      <c r="D17" s="54"/>
      <c r="E17" s="54"/>
      <c r="F17" s="54"/>
      <c r="G17" s="63"/>
      <c r="H17" s="54"/>
      <c r="I17" s="54"/>
      <c r="J17" s="73"/>
    </row>
    <row r="18" spans="1:10" ht="30" customHeight="1">
      <c r="A18" s="38" t="s">
        <v>85</v>
      </c>
      <c r="B18" s="46">
        <v>82017</v>
      </c>
      <c r="C18" s="54"/>
      <c r="D18" s="54"/>
      <c r="E18" s="54"/>
      <c r="F18" s="54"/>
      <c r="G18" s="63"/>
      <c r="H18" s="54"/>
      <c r="I18" s="54"/>
      <c r="J18" s="73"/>
    </row>
    <row r="19" spans="1:10">
      <c r="A19" s="38" t="s">
        <v>86</v>
      </c>
      <c r="B19" s="46">
        <v>50000</v>
      </c>
      <c r="C19" s="54"/>
      <c r="D19" s="54"/>
      <c r="E19" s="54"/>
      <c r="F19" s="54"/>
      <c r="G19" s="63"/>
      <c r="H19" s="54"/>
      <c r="I19" s="54"/>
      <c r="J19" s="73"/>
    </row>
    <row r="20" spans="1:10">
      <c r="A20" s="38" t="s">
        <v>87</v>
      </c>
      <c r="B20" s="46">
        <v>50000</v>
      </c>
      <c r="C20" s="54"/>
      <c r="D20" s="54"/>
      <c r="E20" s="54"/>
      <c r="F20" s="54"/>
      <c r="G20" s="63"/>
      <c r="H20" s="54"/>
      <c r="I20" s="54"/>
      <c r="J20" s="73"/>
    </row>
    <row r="21" spans="1:10">
      <c r="A21" s="38" t="s">
        <v>88</v>
      </c>
      <c r="B21" s="46">
        <v>100000</v>
      </c>
      <c r="C21" s="54"/>
      <c r="D21" s="54"/>
      <c r="E21" s="54"/>
      <c r="F21" s="54"/>
      <c r="G21" s="63"/>
      <c r="H21" s="54"/>
      <c r="I21" s="54"/>
      <c r="J21" s="73"/>
    </row>
    <row r="22" spans="1:10">
      <c r="A22" s="37" t="s">
        <v>89</v>
      </c>
      <c r="B22" s="46">
        <v>25000</v>
      </c>
      <c r="C22" s="54"/>
      <c r="D22" s="58"/>
      <c r="E22" s="61"/>
      <c r="F22" s="54"/>
      <c r="G22" s="64" t="s">
        <v>90</v>
      </c>
      <c r="H22" s="68"/>
      <c r="I22" s="68"/>
      <c r="J22" s="74">
        <v>3845617</v>
      </c>
    </row>
    <row r="23" spans="1:10">
      <c r="A23" s="36" t="s">
        <v>91</v>
      </c>
      <c r="B23" s="47"/>
      <c r="C23" s="54"/>
      <c r="D23" s="54"/>
      <c r="E23" s="54"/>
      <c r="F23" s="54"/>
      <c r="G23" s="63" t="s">
        <v>92</v>
      </c>
      <c r="H23" s="54"/>
      <c r="I23" s="54"/>
      <c r="J23" s="75">
        <v>9.1999999999999998E-2</v>
      </c>
    </row>
    <row r="24" spans="1:10">
      <c r="A24" s="37" t="s">
        <v>82</v>
      </c>
      <c r="B24" s="46">
        <v>1000000</v>
      </c>
      <c r="C24" s="54"/>
      <c r="D24" s="54"/>
      <c r="E24" s="54"/>
      <c r="F24" s="54"/>
      <c r="G24" s="63"/>
      <c r="H24" s="54"/>
      <c r="I24" s="54"/>
      <c r="J24" s="76"/>
    </row>
    <row r="25" spans="1:10">
      <c r="A25" s="37" t="s">
        <v>93</v>
      </c>
      <c r="B25" s="46">
        <v>100000</v>
      </c>
      <c r="C25" s="54"/>
      <c r="D25" s="54"/>
      <c r="E25" s="54"/>
      <c r="F25" s="54"/>
      <c r="G25" s="63"/>
      <c r="H25" s="54"/>
      <c r="I25" s="54"/>
      <c r="J25" s="76"/>
    </row>
    <row r="26" spans="1:10">
      <c r="A26" s="37" t="s">
        <v>94</v>
      </c>
      <c r="B26" s="46">
        <v>100000</v>
      </c>
      <c r="C26" s="54"/>
      <c r="D26" s="54"/>
      <c r="E26" s="54"/>
      <c r="F26" s="54"/>
      <c r="G26" s="63"/>
      <c r="H26" s="54"/>
      <c r="I26" s="54"/>
      <c r="J26" s="76"/>
    </row>
    <row r="27" spans="1:10">
      <c r="A27" s="38" t="s">
        <v>78</v>
      </c>
      <c r="B27" s="46">
        <v>100000</v>
      </c>
      <c r="C27" s="54"/>
      <c r="D27" s="54"/>
      <c r="E27" s="54"/>
      <c r="F27" s="54"/>
      <c r="G27" s="63"/>
      <c r="H27" s="54"/>
      <c r="I27" s="54"/>
      <c r="J27" s="76"/>
    </row>
    <row r="28" spans="1:10">
      <c r="A28" s="37" t="s">
        <v>95</v>
      </c>
      <c r="B28" s="46">
        <v>50000</v>
      </c>
      <c r="C28" s="54"/>
      <c r="D28" s="54"/>
      <c r="E28" s="54"/>
      <c r="F28" s="54"/>
      <c r="G28" s="63"/>
      <c r="H28" s="54"/>
      <c r="I28" s="54"/>
      <c r="J28" s="76"/>
    </row>
    <row r="29" spans="1:10">
      <c r="A29" s="37" t="s">
        <v>96</v>
      </c>
      <c r="B29" s="46">
        <v>250000</v>
      </c>
      <c r="C29" s="54"/>
      <c r="D29" s="54"/>
      <c r="E29" s="54"/>
      <c r="F29" s="54"/>
      <c r="G29" s="63"/>
      <c r="H29" s="54"/>
      <c r="I29" s="54"/>
      <c r="J29" s="76"/>
    </row>
    <row r="30" spans="1:10">
      <c r="A30" s="37" t="s">
        <v>97</v>
      </c>
      <c r="B30" s="46">
        <v>50000</v>
      </c>
      <c r="C30" s="54"/>
      <c r="D30" s="54"/>
      <c r="E30" s="54"/>
      <c r="F30" s="54"/>
      <c r="G30" s="63"/>
      <c r="H30" s="54"/>
      <c r="I30" s="54"/>
      <c r="J30" s="76"/>
    </row>
    <row r="31" spans="1:10">
      <c r="A31" s="37" t="s">
        <v>98</v>
      </c>
      <c r="B31" s="46">
        <v>300000</v>
      </c>
      <c r="C31" s="54"/>
      <c r="D31" s="54"/>
      <c r="E31" s="54"/>
      <c r="F31" s="54"/>
      <c r="G31" s="63"/>
      <c r="H31" s="54"/>
      <c r="I31" s="54"/>
      <c r="J31" s="76"/>
    </row>
    <row r="32" spans="1:10">
      <c r="A32" s="37" t="s">
        <v>99</v>
      </c>
      <c r="B32" s="46">
        <v>300000</v>
      </c>
      <c r="C32" s="54"/>
      <c r="D32" s="54"/>
      <c r="E32" s="54"/>
      <c r="F32" s="54"/>
      <c r="G32" s="63"/>
      <c r="H32" s="54"/>
      <c r="I32" s="54"/>
      <c r="J32" s="76"/>
    </row>
    <row r="33" spans="1:10">
      <c r="A33" s="37" t="s">
        <v>100</v>
      </c>
      <c r="B33" s="46">
        <v>100000</v>
      </c>
      <c r="C33" s="54"/>
      <c r="D33" s="54"/>
      <c r="E33" s="54"/>
      <c r="F33" s="54"/>
      <c r="G33" s="63"/>
      <c r="H33" s="54"/>
      <c r="I33" s="54"/>
      <c r="J33" s="76"/>
    </row>
    <row r="34" spans="1:10">
      <c r="A34" s="37" t="s">
        <v>101</v>
      </c>
      <c r="B34" s="46">
        <v>1700000</v>
      </c>
      <c r="C34" s="54"/>
      <c r="D34" s="54"/>
      <c r="E34" s="54"/>
      <c r="F34" s="54"/>
      <c r="G34" s="63"/>
      <c r="H34" s="54"/>
      <c r="I34" s="54"/>
      <c r="J34" s="76"/>
    </row>
    <row r="35" spans="1:10">
      <c r="A35" s="39" t="s">
        <v>102</v>
      </c>
      <c r="B35" s="48">
        <v>876983</v>
      </c>
      <c r="C35" s="54"/>
      <c r="D35" s="59"/>
      <c r="E35" s="61"/>
      <c r="F35" s="54"/>
      <c r="G35" s="63" t="s">
        <v>103</v>
      </c>
      <c r="H35" s="54"/>
      <c r="I35" s="54"/>
      <c r="J35" s="73">
        <v>6534093</v>
      </c>
    </row>
    <row r="36" spans="1:10">
      <c r="A36" s="40" t="s">
        <v>104</v>
      </c>
      <c r="B36" s="49">
        <v>49000000</v>
      </c>
      <c r="C36" s="54"/>
      <c r="D36" s="54"/>
      <c r="E36" s="54"/>
      <c r="F36" s="54"/>
      <c r="G36" s="63"/>
      <c r="H36" s="54"/>
      <c r="I36" s="54"/>
      <c r="J36" s="77"/>
    </row>
    <row r="37" spans="1:10">
      <c r="A37" s="40"/>
      <c r="B37" s="50"/>
      <c r="C37" s="54"/>
      <c r="D37" s="57"/>
      <c r="E37" s="54"/>
      <c r="F37" s="54"/>
      <c r="G37" s="65"/>
      <c r="H37" s="69"/>
      <c r="I37" s="54"/>
      <c r="J37" s="77"/>
    </row>
    <row r="38" spans="1:10">
      <c r="A38" s="41"/>
      <c r="B38" s="51"/>
      <c r="C38" s="54"/>
      <c r="D38" s="54"/>
      <c r="E38" s="54"/>
      <c r="F38" s="54"/>
      <c r="G38" s="63"/>
      <c r="H38" s="54"/>
      <c r="I38" s="54"/>
      <c r="J38" s="77"/>
    </row>
    <row r="39" spans="1:10" ht="15" thickBot="1">
      <c r="A39" s="42"/>
      <c r="B39" s="52"/>
      <c r="C39" s="55"/>
      <c r="D39" s="54"/>
      <c r="E39" s="55"/>
      <c r="F39" s="55"/>
      <c r="G39" s="66"/>
      <c r="H39" s="55"/>
      <c r="I39" s="55"/>
      <c r="J39" s="78"/>
    </row>
    <row r="40" spans="1:10" ht="15" thickTop="1"/>
  </sheetData>
  <mergeCells count="1">
    <mergeCell ref="D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Hongkai He</dc:creator>
  <cp:keywords/>
  <dc:description/>
  <cp:lastModifiedBy>Hongkai He</cp:lastModifiedBy>
  <cp:revision/>
  <dcterms:created xsi:type="dcterms:W3CDTF">2015-06-05T18:17:20Z</dcterms:created>
  <dcterms:modified xsi:type="dcterms:W3CDTF">2026-04-14T03:08:26Z</dcterms:modified>
  <cp:category/>
  <cp:contentStatus/>
</cp:coreProperties>
</file>
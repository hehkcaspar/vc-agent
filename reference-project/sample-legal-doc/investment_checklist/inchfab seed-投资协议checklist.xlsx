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2"/>
  <workbookPr/>
  <mc:AlternateContent xmlns:mc="http://schemas.openxmlformats.org/markup-compatibility/2006">
    <mc:Choice Requires="x15">
      <x15ac:absPath xmlns:x15ac="http://schemas.microsoft.com/office/spreadsheetml/2010/11/ac" url="https://d.docs.live.net/f63280e117e20743/Taihill/三期基金/已投项目/InchFab/Legal/"/>
    </mc:Choice>
  </mc:AlternateContent>
  <xr:revisionPtr revIDLastSave="61" documentId="11_066C5FE8214D7166D0B971BFA12A1082F0B02F7A" xr6:coauthVersionLast="47" xr6:coauthVersionMax="47" xr10:uidLastSave="{4E6E22FB-149F-4030-A9B7-F0CC34ED28C6}"/>
  <bookViews>
    <workbookView xWindow="28680" yWindow="-120" windowWidth="29040" windowHeight="17520" xr2:uid="{00000000-000D-0000-FFFF-FFFF00000000}"/>
  </bookViews>
  <sheets>
    <sheet name="Terms" sheetId="1" r:id="rId1"/>
    <sheet name="Investo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B6" i="1"/>
  <c r="M19" i="1"/>
  <c r="B7" i="1" s="1"/>
  <c r="B8" i="1" s="1"/>
  <c r="B14" i="1"/>
  <c r="F7" i="1"/>
  <c r="F4" i="1"/>
  <c r="F3" i="1"/>
  <c r="B4" i="1" l="1"/>
  <c r="B9" i="1"/>
  <c r="C9" i="1"/>
  <c r="F8" i="1"/>
</calcChain>
</file>

<file path=xl/sharedStrings.xml><?xml version="1.0" encoding="utf-8"?>
<sst xmlns="http://schemas.openxmlformats.org/spreadsheetml/2006/main" count="80" uniqueCount="64">
  <si>
    <t>Company</t>
  </si>
  <si>
    <t>InchFab</t>
  </si>
  <si>
    <t>Taihill's Position</t>
  </si>
  <si>
    <t>Investor</t>
  </si>
  <si>
    <t>old money</t>
  </si>
  <si>
    <t>Effective Date</t>
  </si>
  <si>
    <t>Holding Entity</t>
  </si>
  <si>
    <t>Taihill Venture Series III LP</t>
  </si>
  <si>
    <t>Issued Ordinary</t>
  </si>
  <si>
    <t>Class of Share</t>
  </si>
  <si>
    <t>Series Seed Preference Shares</t>
  </si>
  <si>
    <t>Series Seed 1 (from CN)</t>
  </si>
  <si>
    <t>Capitalization (#share)</t>
  </si>
  <si>
    <t>Purchase price per share</t>
  </si>
  <si>
    <t>Share Plan</t>
  </si>
  <si>
    <t>Price per share</t>
  </si>
  <si>
    <t>Position (#share)</t>
  </si>
  <si>
    <t>subtotal</t>
  </si>
  <si>
    <t>Pre-money val</t>
  </si>
  <si>
    <t>New money (#share)</t>
  </si>
  <si>
    <t>Position ($)</t>
  </si>
  <si>
    <t>new money cap</t>
  </si>
  <si>
    <t>New money ($)</t>
  </si>
  <si>
    <t>Fully diluted ownership</t>
  </si>
  <si>
    <t>Prefer Seed (reserved)</t>
  </si>
  <si>
    <t>Post-money val</t>
  </si>
  <si>
    <t>additional seed from amendment No.1</t>
  </si>
  <si>
    <t>Co-investors</t>
  </si>
  <si>
    <t>Actual Prefer seed purchased</t>
  </si>
  <si>
    <t>Major Investor cutoff (#share)</t>
  </si>
  <si>
    <t>Issued</t>
  </si>
  <si>
    <t>Setting</t>
  </si>
  <si>
    <t>Applied to Taihill?</t>
  </si>
  <si>
    <t>Major Investor cutoff ($)</t>
  </si>
  <si>
    <t>CFIUS Foreign Person Status</t>
  </si>
  <si>
    <t>NOT a "foreign person"</t>
  </si>
  <si>
    <t>Yes</t>
  </si>
  <si>
    <t>Founders/Key Employee</t>
  </si>
  <si>
    <t>Michell Hsing</t>
  </si>
  <si>
    <t>Funder</t>
  </si>
  <si>
    <t>Foreign Person limitation</t>
  </si>
  <si>
    <t>will not provide DPA Triggering Rights</t>
  </si>
  <si>
    <t>NA</t>
  </si>
  <si>
    <t>Parker Gould</t>
  </si>
  <si>
    <t>Market Stand-off</t>
  </si>
  <si>
    <t>180 days after IPO</t>
  </si>
  <si>
    <t>(Taihill portion)</t>
  </si>
  <si>
    <t>Information Rights</t>
  </si>
  <si>
    <t>Board Composition</t>
  </si>
  <si>
    <t>Financial</t>
  </si>
  <si>
    <t>Major Investor</t>
  </si>
  <si>
    <t>No</t>
  </si>
  <si>
    <t>Inspection</t>
  </si>
  <si>
    <t>Wilbert van den Hoek</t>
  </si>
  <si>
    <t>Right of First Offer</t>
  </si>
  <si>
    <t>Right of First Refusal</t>
  </si>
  <si>
    <t>Secondary Refusal</t>
  </si>
  <si>
    <t>All Investor</t>
  </si>
  <si>
    <t>Co-sale</t>
  </si>
  <si>
    <t>Drag-Along</t>
  </si>
  <si>
    <t>&gt;50% outstanding share</t>
  </si>
  <si>
    <t>Board</t>
  </si>
  <si>
    <t>Employee Vesting</t>
  </si>
  <si>
    <t>4yr, first yr cliff 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</si>
</sst>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[$$-409]#,##0.00"/>
    <numFmt numFmtId="166" formatCode="_ * #,##0_ ;_ * \-#,##0_ ;_ * &quot;-&quot;??_ ;_ @_ "/>
    <numFmt numFmtId="167" formatCode="[$$-409]#,##0.0000"/>
    <numFmt numFmtId="168" formatCode="[$$-409]#,##0"/>
    <numFmt numFmtId="169" formatCode="0.0000%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theme="8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3" borderId="0" applyNumberFormat="0" applyBorder="0" applyAlignment="0" applyProtection="0"/>
  </cellStyleXfs>
  <cellXfs count="41">
    <xf numFmtId="0" fontId="0" fillId="0" borderId="0" xfId="0"/>
    <xf numFmtId="165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wrapText="1"/>
    </xf>
    <xf numFmtId="0" fontId="0" fillId="0" borderId="3" xfId="0" applyBorder="1"/>
    <xf numFmtId="0" fontId="0" fillId="0" borderId="4" xfId="0" applyBorder="1"/>
    <xf numFmtId="14" fontId="3" fillId="0" borderId="0" xfId="0" applyNumberFormat="1" applyFont="1"/>
    <xf numFmtId="0" fontId="0" fillId="0" borderId="5" xfId="0" applyBorder="1"/>
    <xf numFmtId="0" fontId="3" fillId="0" borderId="0" xfId="0" applyFont="1"/>
    <xf numFmtId="166" fontId="3" fillId="0" borderId="0" xfId="1" applyNumberFormat="1" applyFont="1" applyBorder="1" applyAlignment="1"/>
    <xf numFmtId="167" fontId="3" fillId="0" borderId="0" xfId="0" applyNumberFormat="1" applyFont="1"/>
    <xf numFmtId="168" fontId="3" fillId="0" borderId="0" xfId="0" applyNumberFormat="1" applyFont="1"/>
    <xf numFmtId="0" fontId="0" fillId="0" borderId="6" xfId="0" applyBorder="1"/>
    <xf numFmtId="0" fontId="4" fillId="0" borderId="7" xfId="3" applyFont="1" applyBorder="1"/>
    <xf numFmtId="0" fontId="0" fillId="0" borderId="8" xfId="0" applyBorder="1"/>
    <xf numFmtId="0" fontId="0" fillId="0" borderId="9" xfId="0" applyBorder="1"/>
    <xf numFmtId="0" fontId="3" fillId="0" borderId="3" xfId="0" applyFont="1" applyBorder="1"/>
    <xf numFmtId="0" fontId="0" fillId="0" borderId="11" xfId="0" applyBorder="1"/>
    <xf numFmtId="0" fontId="3" fillId="0" borderId="12" xfId="0" applyFont="1" applyBorder="1"/>
    <xf numFmtId="0" fontId="3" fillId="0" borderId="5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2" xfId="0" applyBorder="1"/>
    <xf numFmtId="166" fontId="3" fillId="0" borderId="0" xfId="1" applyNumberFormat="1" applyFont="1" applyBorder="1"/>
    <xf numFmtId="165" fontId="3" fillId="2" borderId="0" xfId="0" applyNumberFormat="1" applyFont="1" applyFill="1"/>
    <xf numFmtId="169" fontId="3" fillId="0" borderId="0" xfId="2" applyNumberFormat="1" applyFont="1" applyBorder="1"/>
    <xf numFmtId="0" fontId="0" fillId="0" borderId="7" xfId="0" applyBorder="1"/>
    <xf numFmtId="0" fontId="2" fillId="0" borderId="0" xfId="0" applyFont="1"/>
    <xf numFmtId="0" fontId="2" fillId="0" borderId="9" xfId="0" applyFont="1" applyBorder="1"/>
    <xf numFmtId="10" fontId="3" fillId="0" borderId="0" xfId="0" applyNumberFormat="1" applyFont="1"/>
    <xf numFmtId="0" fontId="3" fillId="2" borderId="0" xfId="0" applyFont="1" applyFill="1"/>
    <xf numFmtId="0" fontId="3" fillId="0" borderId="0" xfId="0" applyFont="1" applyAlignment="1">
      <alignment wrapText="1"/>
    </xf>
    <xf numFmtId="0" fontId="3" fillId="0" borderId="7" xfId="0" applyFont="1" applyBorder="1"/>
    <xf numFmtId="3" fontId="0" fillId="0" borderId="0" xfId="0" applyNumberFormat="1"/>
    <xf numFmtId="0" fontId="1" fillId="0" borderId="0" xfId="0" applyFont="1"/>
    <xf numFmtId="168" fontId="3" fillId="0" borderId="15" xfId="0" applyNumberFormat="1" applyFont="1" applyBorder="1"/>
    <xf numFmtId="3" fontId="7" fillId="3" borderId="10" xfId="4" applyNumberFormat="1" applyBorder="1"/>
    <xf numFmtId="168" fontId="7" fillId="3" borderId="12" xfId="4" applyNumberFormat="1" applyBorder="1"/>
    <xf numFmtId="0" fontId="7" fillId="3" borderId="5" xfId="4" applyBorder="1"/>
    <xf numFmtId="0" fontId="7" fillId="3" borderId="12" xfId="4" applyBorder="1"/>
  </cellXfs>
  <cellStyles count="5">
    <cellStyle name="Bad" xfId="4" builtinId="27"/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zoomScale="145" zoomScaleNormal="145" workbookViewId="0">
      <selection activeCell="C9" sqref="C9"/>
    </sheetView>
  </sheetViews>
  <sheetFormatPr defaultColWidth="9" defaultRowHeight="15"/>
  <cols>
    <col min="1" max="1" width="24.75" customWidth="1"/>
    <col min="2" max="2" width="28.625" customWidth="1"/>
    <col min="3" max="3" width="20.75" customWidth="1"/>
    <col min="5" max="5" width="26.875" customWidth="1"/>
    <col min="6" max="6" width="35.125" customWidth="1"/>
    <col min="10" max="10" width="12.875" customWidth="1"/>
    <col min="12" max="12" width="27.75" customWidth="1"/>
  </cols>
  <sheetData>
    <row r="1" spans="1:14">
      <c r="A1" s="2" t="s">
        <v>0</v>
      </c>
      <c r="B1" s="3" t="s">
        <v>1</v>
      </c>
      <c r="C1" s="4"/>
      <c r="E1" s="2" t="s">
        <v>2</v>
      </c>
      <c r="F1" s="8" t="s">
        <v>3</v>
      </c>
      <c r="G1" s="23"/>
      <c r="H1" s="4"/>
      <c r="L1" t="s">
        <v>4</v>
      </c>
    </row>
    <row r="2" spans="1:14">
      <c r="A2" s="5" t="s">
        <v>5</v>
      </c>
      <c r="B2" s="6">
        <v>45226</v>
      </c>
      <c r="C2" s="7"/>
      <c r="E2" s="5" t="s">
        <v>6</v>
      </c>
      <c r="F2" s="8" t="s">
        <v>7</v>
      </c>
      <c r="H2" s="7"/>
      <c r="L2" t="s">
        <v>8</v>
      </c>
      <c r="M2">
        <v>2554737</v>
      </c>
    </row>
    <row r="3" spans="1:14">
      <c r="A3" s="5" t="s">
        <v>9</v>
      </c>
      <c r="B3" s="8" t="s">
        <v>10</v>
      </c>
      <c r="C3" s="7"/>
      <c r="E3" s="5" t="s">
        <v>9</v>
      </c>
      <c r="F3" s="8" t="str">
        <f>B3</f>
        <v>Series Seed Preference Shares</v>
      </c>
      <c r="H3" s="7"/>
      <c r="L3" t="s">
        <v>11</v>
      </c>
      <c r="M3">
        <v>419352</v>
      </c>
    </row>
    <row r="4" spans="1:14">
      <c r="A4" s="5" t="s">
        <v>12</v>
      </c>
      <c r="B4" s="9">
        <f>M5+M19</f>
        <v>5258660</v>
      </c>
      <c r="C4" s="7"/>
      <c r="E4" s="5" t="s">
        <v>13</v>
      </c>
      <c r="F4" s="10">
        <f>B5</f>
        <v>3.5512999999999999</v>
      </c>
      <c r="H4" s="7"/>
      <c r="L4" t="s">
        <v>14</v>
      </c>
      <c r="M4">
        <v>686568</v>
      </c>
    </row>
    <row r="5" spans="1:14">
      <c r="A5" s="5" t="s">
        <v>15</v>
      </c>
      <c r="B5" s="10">
        <v>3.5512999999999999</v>
      </c>
      <c r="C5" s="7"/>
      <c r="E5" s="5" t="s">
        <v>16</v>
      </c>
      <c r="F5" s="24">
        <v>84476</v>
      </c>
      <c r="H5" s="7"/>
      <c r="L5" s="35" t="s">
        <v>17</v>
      </c>
      <c r="M5">
        <f>SUM(M2:M4)</f>
        <v>3660657</v>
      </c>
    </row>
    <row r="6" spans="1:14">
      <c r="A6" s="5" t="s">
        <v>18</v>
      </c>
      <c r="B6" s="11">
        <f>(M2+M3+M4)*B5</f>
        <v>13000091.2041</v>
      </c>
      <c r="C6" s="7"/>
      <c r="E6" s="5"/>
      <c r="F6" s="24"/>
      <c r="H6" s="7"/>
    </row>
    <row r="7" spans="1:14">
      <c r="A7" s="5" t="s">
        <v>19</v>
      </c>
      <c r="B7" s="9">
        <f>M19</f>
        <v>1598003</v>
      </c>
      <c r="C7" s="7"/>
      <c r="E7" s="5" t="s">
        <v>20</v>
      </c>
      <c r="F7" s="25">
        <f>F5*F4</f>
        <v>299999.6188</v>
      </c>
      <c r="H7" s="7"/>
      <c r="L7" t="s">
        <v>21</v>
      </c>
    </row>
    <row r="8" spans="1:14">
      <c r="A8" s="5" t="s">
        <v>22</v>
      </c>
      <c r="B8" s="11">
        <f>B5*B7</f>
        <v>5674988.0538999997</v>
      </c>
      <c r="C8" s="7"/>
      <c r="E8" s="5" t="s">
        <v>23</v>
      </c>
      <c r="F8" s="26">
        <f>F5/B4</f>
        <v>1.6064168438347411E-2</v>
      </c>
      <c r="H8" s="7"/>
      <c r="L8" t="s">
        <v>24</v>
      </c>
      <c r="M8">
        <v>1689520</v>
      </c>
    </row>
    <row r="9" spans="1:14">
      <c r="A9" s="5" t="s">
        <v>25</v>
      </c>
      <c r="B9" s="11">
        <f>B6+B8</f>
        <v>18675079.258000001</v>
      </c>
      <c r="C9" s="36">
        <f>B4*B5</f>
        <v>18675079.258000001</v>
      </c>
      <c r="E9" s="5"/>
      <c r="H9" s="7"/>
      <c r="J9" s="1"/>
      <c r="L9" t="s">
        <v>26</v>
      </c>
      <c r="M9">
        <v>422380</v>
      </c>
    </row>
    <row r="10" spans="1:14">
      <c r="A10" s="12" t="s">
        <v>27</v>
      </c>
      <c r="B10" s="13"/>
      <c r="C10" s="14"/>
      <c r="E10" s="12"/>
      <c r="F10" s="27"/>
      <c r="G10" s="27"/>
      <c r="H10" s="14"/>
    </row>
    <row r="11" spans="1:14">
      <c r="H11" s="28"/>
      <c r="L11" t="s">
        <v>28</v>
      </c>
      <c r="M11">
        <v>985553</v>
      </c>
    </row>
    <row r="12" spans="1:14">
      <c r="D12" s="11"/>
      <c r="M12">
        <v>140793</v>
      </c>
    </row>
    <row r="13" spans="1:14">
      <c r="A13" s="15" t="s">
        <v>29</v>
      </c>
      <c r="B13" s="37">
        <v>1252500</v>
      </c>
      <c r="C13" s="16" t="s">
        <v>30</v>
      </c>
      <c r="E13" s="29"/>
      <c r="F13" s="23" t="s">
        <v>31</v>
      </c>
      <c r="G13" s="23" t="s">
        <v>32</v>
      </c>
      <c r="H13" s="4"/>
      <c r="M13">
        <v>281587</v>
      </c>
    </row>
    <row r="14" spans="1:14">
      <c r="A14" s="17" t="s">
        <v>33</v>
      </c>
      <c r="B14" s="38">
        <f>B13*B5</f>
        <v>4448003.25</v>
      </c>
      <c r="C14" s="7"/>
      <c r="E14" s="17" t="s">
        <v>34</v>
      </c>
      <c r="F14" s="8" t="s">
        <v>35</v>
      </c>
      <c r="G14" s="8" t="s">
        <v>36</v>
      </c>
      <c r="H14" s="7"/>
      <c r="M14">
        <v>14079</v>
      </c>
    </row>
    <row r="15" spans="1:14">
      <c r="A15" s="17" t="s">
        <v>37</v>
      </c>
      <c r="B15" s="18" t="s">
        <v>38</v>
      </c>
      <c r="C15" s="8" t="s">
        <v>39</v>
      </c>
      <c r="E15" s="17" t="s">
        <v>40</v>
      </c>
      <c r="F15" s="30" t="s">
        <v>41</v>
      </c>
      <c r="G15" s="8" t="s">
        <v>42</v>
      </c>
      <c r="H15" s="7"/>
      <c r="M15">
        <v>42238</v>
      </c>
    </row>
    <row r="16" spans="1:14">
      <c r="A16" s="17"/>
      <c r="B16" s="18" t="s">
        <v>43</v>
      </c>
      <c r="C16" s="19" t="s">
        <v>39</v>
      </c>
      <c r="E16" s="17" t="s">
        <v>44</v>
      </c>
      <c r="F16" s="8" t="s">
        <v>45</v>
      </c>
      <c r="G16" s="8" t="s">
        <v>36</v>
      </c>
      <c r="H16" s="7"/>
      <c r="M16">
        <v>49277</v>
      </c>
      <c r="N16" s="35" t="s">
        <v>46</v>
      </c>
    </row>
    <row r="17" spans="1:13">
      <c r="A17" s="17"/>
      <c r="B17" s="18"/>
      <c r="C17" s="7"/>
      <c r="E17" s="17" t="s">
        <v>47</v>
      </c>
      <c r="F17" s="8"/>
      <c r="G17" s="8"/>
      <c r="H17" s="7"/>
      <c r="M17" s="34">
        <v>84476</v>
      </c>
    </row>
    <row r="18" spans="1:13">
      <c r="A18" s="17" t="s">
        <v>48</v>
      </c>
      <c r="B18" s="18" t="s">
        <v>38</v>
      </c>
      <c r="C18" s="39"/>
      <c r="E18" s="17" t="s">
        <v>49</v>
      </c>
      <c r="F18" s="8" t="s">
        <v>50</v>
      </c>
      <c r="G18" s="31" t="s">
        <v>51</v>
      </c>
      <c r="H18" s="7"/>
    </row>
    <row r="19" spans="1:13">
      <c r="A19" s="17"/>
      <c r="B19" s="18" t="s">
        <v>43</v>
      </c>
      <c r="C19" s="39"/>
      <c r="E19" s="17" t="s">
        <v>52</v>
      </c>
      <c r="F19" s="8" t="s">
        <v>50</v>
      </c>
      <c r="G19" s="31" t="s">
        <v>51</v>
      </c>
      <c r="H19" s="7"/>
      <c r="M19">
        <f>SUM(M11:M18)</f>
        <v>1598003</v>
      </c>
    </row>
    <row r="20" spans="1:13">
      <c r="A20" s="17"/>
      <c r="B20" s="40" t="s">
        <v>53</v>
      </c>
      <c r="C20" s="39"/>
      <c r="E20" s="17"/>
      <c r="F20" s="8"/>
      <c r="G20" s="31"/>
      <c r="H20" s="7"/>
    </row>
    <row r="21" spans="1:13">
      <c r="A21" s="17"/>
      <c r="B21" s="18"/>
      <c r="C21" s="19"/>
      <c r="E21" s="17" t="s">
        <v>54</v>
      </c>
      <c r="F21" s="8" t="s">
        <v>50</v>
      </c>
      <c r="G21" s="31" t="s">
        <v>51</v>
      </c>
      <c r="H21" s="7"/>
    </row>
    <row r="22" spans="1:13">
      <c r="A22" s="17"/>
      <c r="B22" s="18"/>
      <c r="C22" s="19"/>
      <c r="E22" s="17" t="s">
        <v>55</v>
      </c>
      <c r="F22" s="32" t="s">
        <v>0</v>
      </c>
      <c r="G22" s="31" t="s">
        <v>51</v>
      </c>
      <c r="H22" s="7"/>
    </row>
    <row r="23" spans="1:13">
      <c r="A23" s="17"/>
      <c r="B23" s="18"/>
      <c r="C23" s="19"/>
      <c r="E23" s="17" t="s">
        <v>56</v>
      </c>
      <c r="F23" s="8" t="s">
        <v>57</v>
      </c>
      <c r="G23" s="8" t="s">
        <v>36</v>
      </c>
      <c r="H23" s="7"/>
    </row>
    <row r="24" spans="1:13">
      <c r="A24" s="17"/>
      <c r="B24" s="20"/>
      <c r="C24" s="7"/>
      <c r="E24" s="17" t="s">
        <v>58</v>
      </c>
      <c r="F24" s="32" t="s">
        <v>57</v>
      </c>
      <c r="G24" s="8" t="s">
        <v>36</v>
      </c>
      <c r="H24" s="7"/>
    </row>
    <row r="25" spans="1:13">
      <c r="A25" s="17" t="s">
        <v>59</v>
      </c>
      <c r="B25" s="18" t="s">
        <v>60</v>
      </c>
      <c r="C25" s="7"/>
      <c r="E25" s="17"/>
      <c r="F25" s="8"/>
      <c r="G25" s="8"/>
      <c r="H25" s="7"/>
    </row>
    <row r="26" spans="1:13">
      <c r="A26" s="17"/>
      <c r="B26" s="20"/>
      <c r="C26" s="7"/>
      <c r="E26" s="17" t="s">
        <v>61</v>
      </c>
      <c r="F26" s="8"/>
      <c r="G26" s="8" t="s">
        <v>51</v>
      </c>
      <c r="H26" s="7"/>
    </row>
    <row r="27" spans="1:13">
      <c r="A27" s="17"/>
      <c r="B27" s="20"/>
      <c r="C27" s="7"/>
      <c r="E27" s="17"/>
      <c r="H27" s="7"/>
    </row>
    <row r="28" spans="1:13">
      <c r="A28" s="21"/>
      <c r="B28" s="22"/>
      <c r="C28" s="14"/>
      <c r="E28" s="21" t="s">
        <v>62</v>
      </c>
      <c r="F28" s="33" t="s">
        <v>63</v>
      </c>
      <c r="G28" s="33" t="s">
        <v>51</v>
      </c>
      <c r="H28" s="14"/>
    </row>
  </sheetData>
  <pageMargins left="0.7" right="0.7" top="0.75" bottom="0.75" header="0.3" footer="0.3"/>
  <pageSetup paperSize="9"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"/>
  <sheetViews>
    <sheetView workbookViewId="0">
      <selection activeCell="G16" sqref="G16"/>
    </sheetView>
  </sheetViews>
  <sheetFormatPr defaultColWidth="9" defaultRowHeight="15"/>
  <cols>
    <col min="1" max="1" width="33.75" customWidth="1"/>
    <col min="2" max="2" width="25.25" customWidth="1"/>
    <col min="3" max="3" width="6" style="1" customWidth="1"/>
    <col min="4" max="4" width="25.25" customWidth="1"/>
    <col min="5" max="5" width="3.125" customWidth="1"/>
    <col min="6" max="6" width="2.375" customWidth="1"/>
    <col min="7" max="7" width="25.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Hongkai He</dc:creator>
  <cp:keywords/>
  <dc:description/>
  <cp:lastModifiedBy>Hongkai He</cp:lastModifiedBy>
  <cp:revision/>
  <dcterms:created xsi:type="dcterms:W3CDTF">2015-06-07T18:17:00Z</dcterms:created>
  <dcterms:modified xsi:type="dcterms:W3CDTF">2026-04-14T03:07:33Z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2052-6.4.0.8550</vt:lpwstr>
  </property>
  <property fmtid="{D5CDD505-2E9C-101B-9397-08002B2CF9AE}" pid="3" name="ICV">
    <vt:lpwstr>8948687E7321701C49697965DB96BA7D_43</vt:lpwstr>
  </property>
</Properties>
</file>